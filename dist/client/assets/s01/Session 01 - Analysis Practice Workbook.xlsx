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c0315fb889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c3350fe3d48473f"/>
    <x:sheet xmlns:r="http://schemas.openxmlformats.org/officeDocument/2006/relationships" name="Start Here" sheetId="2" r:id="Rea5d14dceeaa472f"/>
    <x:sheet xmlns:r="http://schemas.openxmlformats.org/officeDocument/2006/relationships" name="Data Audit" sheetId="3" r:id="R16a0cf3add8b443f"/>
    <x:sheet xmlns:r="http://schemas.openxmlformats.org/officeDocument/2006/relationships" name="Descriptive Statistics" sheetId="4" r:id="R8f3dbe7d50d84d6a"/>
    <x:sheet xmlns:r="http://schemas.openxmlformats.org/officeDocument/2006/relationships" name="Excel-SPSS Parity" sheetId="5" r:id="R25f2a4ea54cc4a33"/>
    <x:sheet xmlns:r="http://schemas.openxmlformats.org/officeDocument/2006/relationships" name="Quality Log" sheetId="6" r:id="R73c881ea95b74896"/>
    <x:sheet xmlns:r="http://schemas.openxmlformats.org/officeDocument/2006/relationships" name="Synthesis" sheetId="7" r:id="Rd2ca4f3053554af7"/>
    <x:sheet xmlns:r="http://schemas.openxmlformats.org/officeDocument/2006/relationships" name="Memo Evidence Map" sheetId="8" r:id="R42396efa4821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.00"/>
    <x:numFmt numFmtId="202" formatCode="0"/>
    <x:numFmt numFmtId="203" formatCode="0.00"/>
  </x:numFmts>
  <x:fonts count="9">
    <x:font>
      <x:sz val="11"/>
      <x:name val="Carlito"/>
    </x:font>
    <x:font>
      <x:sz val="10"/>
      <x:color rgb="FF242126"/>
      <x:name val="Carlito"/>
    </x:font>
    <x:font>
      <x:b/>
      <x:sz val="10"/>
      <x:color rgb="FFFFFFFF"/>
      <x:name val="Carlito"/>
    </x:font>
    <x:font>
      <x:b/>
      <x:sz val="20"/>
      <x:color rgb="FFFFFFFF"/>
      <x:name val="Carlito"/>
    </x:font>
    <x:font>
      <x:i/>
      <x:sz val="11"/>
      <x:color rgb="FF66616B"/>
      <x:name val="Carlito"/>
    </x:font>
    <x:font>
      <x:b/>
      <x:sz val="11"/>
      <x:color rgb="FFFFFFFF"/>
      <x:name val="Carlito"/>
    </x:font>
    <x:font>
      <x:sz val="11"/>
      <x:color rgb="FF242126"/>
      <x:name val="Carlito"/>
    </x:font>
    <x:font>
      <x:b/>
      <x:sz val="11"/>
      <x:color rgb="FF57068C"/>
      <x:name val="Carlito"/>
    </x:font>
    <x:font>
      <x:sz val="12"/>
      <x:color rgb="FF24212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30662"/>
      </x:patternFill>
    </x:fill>
    <x:fill>
      <x:patternFill patternType="solid">
        <x:fgColor rgb="FF57068C"/>
      </x:patternFill>
    </x:fill>
    <x:fill>
      <x:patternFill patternType="solid">
        <x:fgColor rgb="FFF7F4F9"/>
      </x:patternFill>
    </x:fill>
    <x:fill>
      <x:patternFill patternType="solid">
        <x:fgColor rgb="FFEFE7F4"/>
      </x:patternFill>
    </x:fill>
  </x:fills>
  <x:borders count="38">
    <x:border/>
    <x:border/>
    <x:border>
      <x:right style="thin">
        <x:color rgb="FFECE7EF"/>
      </x:right>
      <x:bottom style="thin">
        <x:color rgb="FFECE7EF"/>
      </x:bottom>
    </x:border>
    <x:border>
      <x:left style="thin">
        <x:color rgb="FFECE7EF"/>
      </x:left>
      <x:right style="thin">
        <x:color rgb="FFECE7EF"/>
      </x:right>
      <x:bottom style="thin">
        <x:color rgb="FFECE7EF"/>
      </x:bottom>
    </x:border>
    <x:border>
      <x:left style="thin">
        <x:color rgb="FFECE7EF"/>
      </x:left>
      <x:bottom style="thin">
        <x:color rgb="FFECE7EF"/>
      </x:bottom>
    </x:border>
    <x:border>
      <x:right style="thin">
        <x:color rgb="FFECE7EF"/>
      </x:right>
      <x:top style="thin">
        <x:color rgb="FFECE7EF"/>
      </x:top>
      <x:bottom style="thin">
        <x:color rgb="FFECE7EF"/>
      </x:bottom>
    </x:border>
    <x:border>
      <x:left style="thin">
        <x:color rgb="FFECE7EF"/>
      </x:left>
      <x:right style="thin">
        <x:color rgb="FFECE7EF"/>
      </x:right>
      <x:top style="thin">
        <x:color rgb="FFECE7EF"/>
      </x:top>
      <x:bottom style="thin">
        <x:color rgb="FFECE7EF"/>
      </x:bottom>
    </x:border>
    <x:border>
      <x:left style="thin">
        <x:color rgb="FFECE7EF"/>
      </x:left>
      <x:top style="thin">
        <x:color rgb="FFECE7EF"/>
      </x:top>
      <x:bottom style="thin">
        <x:color rgb="FFECE7EF"/>
      </x:bottom>
    </x:border>
    <x:border>
      <x:right style="thin">
        <x:color rgb="FFECE7EF"/>
      </x:right>
      <x:top style="thin">
        <x:color rgb="FFECE7EF"/>
      </x:top>
    </x:border>
    <x:border>
      <x:left style="thin">
        <x:color rgb="FFECE7EF"/>
      </x:left>
      <x:right style="thin">
        <x:color rgb="FFECE7EF"/>
      </x:right>
      <x:top style="thin">
        <x:color rgb="FFECE7EF"/>
      </x:top>
    </x:border>
    <x:border>
      <x:left style="thin">
        <x:color rgb="FFECE7EF"/>
      </x:left>
      <x:top style="thin">
        <x:color rgb="FFECE7EF"/>
      </x:top>
    </x:border>
    <x:border>
      <x:right style="thin">
        <x:color rgb="FFECE7EF"/>
      </x:right>
      <x:bottom style="thin">
        <x:color rgb="FFECE7EF"/>
      </x:bottom>
    </x:border>
    <x:border>
      <x:left style="thin">
        <x:color rgb="FFECE7EF"/>
      </x:left>
      <x:right style="thin">
        <x:color rgb="FFECE7EF"/>
      </x:right>
      <x:bottom style="thin">
        <x:color rgb="FFECE7EF"/>
      </x:bottom>
    </x:border>
    <x:border>
      <x:left style="thin">
        <x:color rgb="FFECE7EF"/>
      </x:left>
      <x:bottom style="thin">
        <x:color rgb="FFECE7EF"/>
      </x:bottom>
    </x:border>
    <x:border>
      <x:right style="thin">
        <x:color rgb="FFECE7EF"/>
      </x:right>
      <x:top style="thin">
        <x:color rgb="FFECE7EF"/>
      </x:top>
      <x:bottom style="thin">
        <x:color rgb="FFECE7EF"/>
      </x:bottom>
    </x:border>
    <x:border>
      <x:left style="thin">
        <x:color rgb="FFECE7EF"/>
      </x:left>
      <x:right style="thin">
        <x:color rgb="FFECE7EF"/>
      </x:right>
      <x:top style="thin">
        <x:color rgb="FFECE7EF"/>
      </x:top>
      <x:bottom style="thin">
        <x:color rgb="FFECE7EF"/>
      </x:bottom>
    </x:border>
    <x:border>
      <x:left style="thin">
        <x:color rgb="FFECE7EF"/>
      </x:left>
      <x:top style="thin">
        <x:color rgb="FFECE7EF"/>
      </x:top>
      <x:bottom style="thin">
        <x:color rgb="FFECE7EF"/>
      </x:bottom>
    </x:border>
    <x:border>
      <x:right style="thin">
        <x:color rgb="FFECE7EF"/>
      </x:right>
      <x:top style="thin">
        <x:color rgb="FFECE7EF"/>
      </x:top>
    </x:border>
    <x:border>
      <x:left style="thin">
        <x:color rgb="FFECE7EF"/>
      </x:left>
      <x:right style="thin">
        <x:color rgb="FFECE7EF"/>
      </x:right>
      <x:top style="thin">
        <x:color rgb="FFECE7EF"/>
      </x:top>
    </x:border>
    <x:border>
      <x:left style="thin">
        <x:color rgb="FFECE7EF"/>
      </x:left>
      <x:top style="thin">
        <x:color rgb="FFECE7EF"/>
      </x:top>
    </x:border>
    <x:border>
      <x:left style="thin">
        <x:color rgb="FFD8CFDE"/>
      </x:left>
      <x:right style="thin">
        <x:color rgb="FFD8CFDE"/>
      </x:right>
      <x:top style="thin">
        <x:color rgb="FFD8CFDE"/>
      </x:top>
      <x:bottom style="thin">
        <x:color rgb="FFD8CFDE"/>
      </x:bottom>
    </x:border>
    <x:border>
      <x:left style="thin">
        <x:color rgb="FFD8CFDE"/>
      </x:left>
      <x:right style="thin">
        <x:color rgb="FFD8CFDE"/>
      </x:right>
      <x:top style="thin">
        <x:color rgb="FFD8CFDE"/>
      </x:top>
      <x:bottom style="thin">
        <x:color rgb="FFD8CFDE"/>
      </x:bottom>
    </x:border>
    <x:border>
      <x:left style="thin">
        <x:color rgb="FFD8CFDE"/>
      </x:left>
      <x:top style="thin">
        <x:color rgb="FFD8CFDE"/>
      </x:top>
    </x:border>
    <x:border>
      <x:top style="thin">
        <x:color rgb="FFD8CFDE"/>
      </x:top>
    </x:border>
    <x:border>
      <x:right style="thin">
        <x:color rgb="FFD8CFDE"/>
      </x:right>
      <x:top style="thin">
        <x:color rgb="FFD8CFDE"/>
      </x:top>
    </x:border>
    <x:border>
      <x:left style="thin">
        <x:color rgb="FFD8CFDE"/>
      </x:left>
    </x:border>
    <x:border>
      <x:right style="thin">
        <x:color rgb="FFD8CFDE"/>
      </x:right>
    </x:border>
    <x:border>
      <x:left style="thin">
        <x:color rgb="FFD8CFDE"/>
      </x:left>
      <x:bottom style="thin">
        <x:color rgb="FFD8CFDE"/>
      </x:bottom>
    </x:border>
    <x:border>
      <x:bottom style="thin">
        <x:color rgb="FFD8CFDE"/>
      </x:bottom>
    </x:border>
    <x:border>
      <x:right style="thin">
        <x:color rgb="FFD8CFDE"/>
      </x:right>
      <x:bottom style="thin">
        <x:color rgb="FFD8CFDE"/>
      </x:bottom>
    </x:border>
    <x:border>
      <x:left style="thin">
        <x:color rgb="FFD8CFDE"/>
      </x:left>
      <x:top style="thin">
        <x:color rgb="FFD8CFDE"/>
      </x:top>
    </x:border>
    <x:border>
      <x:top style="thin">
        <x:color rgb="FFD8CFDE"/>
      </x:top>
    </x:border>
    <x:border>
      <x:right style="thin">
        <x:color rgb="FFD8CFDE"/>
      </x:right>
      <x:top style="thin">
        <x:color rgb="FFD8CFDE"/>
      </x:top>
    </x:border>
    <x:border>
      <x:left style="thin">
        <x:color rgb="FFD8CFDE"/>
      </x:left>
    </x:border>
    <x:border>
      <x:right style="thin">
        <x:color rgb="FFD8CFDE"/>
      </x:right>
    </x:border>
    <x:border>
      <x:left style="thin">
        <x:color rgb="FFD8CFDE"/>
      </x:left>
      <x:bottom style="thin">
        <x:color rgb="FFD8CFDE"/>
      </x:bottom>
    </x:border>
    <x:border>
      <x:bottom style="thin">
        <x:color rgb="FFD8CFDE"/>
      </x:bottom>
    </x:border>
    <x:border>
      <x:right style="thin">
        <x:color rgb="FFD8CFDE"/>
      </x:right>
      <x:bottom style="thin">
        <x:color rgb="FFD8CFDE"/>
      </x:bottom>
    </x:border>
  </x:borders>
  <x:cellStyleXfs count="1">
    <x:xf numFmtId="0" fontId="0" fillId="0" borderId="0"/>
  </x:cellStyleXfs>
  <x:cellXfs count="15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3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11" xfId="0" applyNumberFormat="1" applyFont="1" applyFill="1" applyBorder="1"/>
    <x:xf numFmtId="0" fontId="2" fillId="2" borderId="12" xfId="0" applyNumberFormat="1" applyFont="1" applyFill="1" applyBorder="1"/>
    <x:xf numFmtId="0" fontId="2" fillId="2" borderId="13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2" fillId="2" borderId="12" xfId="0" applyNumberFormat="1" applyFont="1" applyFill="1" applyBorder="1" applyAlignment="1">
      <x:alignment wrapText="1"/>
    </x:xf>
    <x:xf numFmtId="0" fontId="2" fillId="2" borderId="1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2" fillId="2" borderId="13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/>
    <x:xf numFmtId="200" fontId="1" fillId="0" borderId="9" xfId="0" applyNumberFormat="1" applyFont="1" applyFill="1" applyBorder="1"/>
    <x:xf numFmtId="200" fontId="1" fillId="0" borderId="15" xfId="0" applyNumberFormat="1" applyFont="1" applyFill="1" applyBorder="1"/>
    <x:xf numFmtId="200" fontId="1" fillId="0" borderId="18" xfId="0" applyNumberFormat="1" applyFont="1" applyFill="1" applyBorder="1"/>
    <x:xf numFmtId="201" fontId="1" fillId="0" borderId="6" xfId="0" applyNumberFormat="1" applyFont="1" applyFill="1" applyBorder="1"/>
    <x:xf numFmtId="201" fontId="1" fillId="0" borderId="9" xfId="0" applyNumberFormat="1" applyFont="1" applyFill="1" applyBorder="1"/>
    <x:xf numFmtId="201" fontId="1" fillId="0" borderId="15" xfId="0" applyNumberFormat="1" applyFont="1" applyFill="1" applyBorder="1"/>
    <x:xf numFmtId="201" fontId="1" fillId="0" borderId="18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0" xfId="0" applyNumberFormat="1" applyFont="1" applyFill="1" applyBorder="1"/>
    <x:xf numFmtId="0" fontId="5" fillId="2" borderId="21" xfId="0" applyNumberFormat="1" applyFont="1" applyFill="1" applyBorder="1"/>
    <x:xf numFmtId="0" fontId="5" fillId="2" borderId="20" xfId="0" applyNumberFormat="1" applyFont="1" applyFill="1" applyBorder="1" applyAlignment="1">
      <x:alignment wrapText="1"/>
    </x:xf>
    <x:xf numFmtId="0" fontId="5" fillId="2" borderId="21" xfId="0" applyNumberFormat="1" applyFont="1" applyFill="1" applyBorder="1" applyAlignment="1">
      <x:alignment wrapText="1"/>
    </x:xf>
    <x:xf numFmtId="0" fontId="5" fillId="2" borderId="20" xfId="0" applyNumberFormat="1" applyFont="1" applyFill="1" applyBorder="1" applyAlignment="1">
      <x:alignment vertical="center" wrapText="1"/>
    </x:xf>
    <x:xf numFmtId="0" fontId="5" fillId="2" borderId="2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0" xfId="0" applyNumberFormat="1" applyFont="1" applyFill="1" applyBorder="1"/>
    <x:xf numFmtId="0" fontId="6" fillId="0" borderId="21" xfId="0" applyNumberFormat="1" applyFont="1" applyFill="1" applyBorder="1"/>
    <x:xf numFmtId="0" fontId="6" fillId="0" borderId="20" xfId="0" applyNumberFormat="1" applyFont="1" applyFill="1" applyBorder="1" applyAlignment="1">
      <x:alignment wrapText="1"/>
    </x:xf>
    <x:xf numFmtId="0" fontId="6" fillId="0" borderId="21" xfId="0" applyNumberFormat="1" applyFont="1" applyFill="1" applyBorder="1" applyAlignment="1">
      <x:alignment wrapText="1"/>
    </x:xf>
    <x:xf numFmtId="0" fontId="6" fillId="0" borderId="20" xfId="0" applyNumberFormat="1" applyFont="1" applyFill="1" applyBorder="1" applyAlignment="1">
      <x:alignment vertical="top" wrapText="1"/>
    </x:xf>
    <x:xf numFmtId="0" fontId="6" fillId="0" borderId="21" xfId="0" applyNumberFormat="1" applyFont="1" applyFill="1" applyBorder="1" applyAlignment="1">
      <x:alignment vertical="top" wrapText="1"/>
    </x:xf>
    <x:xf numFmtId="0" fontId="6" fillId="5" borderId="20" xfId="0" applyNumberFormat="1" applyFont="1" applyFill="1" applyBorder="1" applyAlignment="1">
      <x:alignment vertical="top" wrapText="1"/>
    </x:xf>
    <x:xf numFmtId="0" fontId="6" fillId="5" borderId="21" xfId="0" applyNumberFormat="1" applyFont="1" applyFill="1" applyBorder="1" applyAlignment="1">
      <x:alignment vertical="top" wrapText="1"/>
    </x:xf>
    <x:xf numFmtId="0" fontId="7" fillId="5" borderId="20" xfId="0" applyNumberFormat="1" applyFont="1" applyFill="1" applyBorder="1" applyAlignment="1">
      <x:alignment vertical="top" wrapText="1"/>
    </x:xf>
    <x:xf numFmtId="0" fontId="7" fillId="5" borderId="21" xfId="0" applyNumberFormat="1" applyFont="1" applyFill="1" applyBorder="1" applyAlignment="1">
      <x:alignment vertical="top" wrapText="1"/>
    </x:xf>
    <x:xf numFmtId="0" fontId="7" fillId="5" borderId="20" xfId="0" applyNumberFormat="1" applyFont="1" applyFill="1" applyBorder="1" applyAlignment="1">
      <x:alignment horizontal="center" vertical="top" wrapText="1"/>
    </x:xf>
    <x:xf numFmtId="0" fontId="7" fillId="5" borderId="21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6" fillId="4" borderId="20" xfId="0" applyNumberFormat="1" applyFont="1" applyFill="1" applyBorder="1" applyAlignment="1">
      <x:alignment vertical="top" wrapText="1"/>
    </x:xf>
    <x:xf numFmtId="0" fontId="6" fillId="4" borderId="21" xfId="0" applyNumberFormat="1" applyFont="1" applyFill="1" applyBorder="1" applyAlignment="1">
      <x:alignment vertical="top" wrapText="1"/>
    </x:xf>
    <x:xf numFmtId="202" fontId="6" fillId="5" borderId="20" xfId="0" applyNumberFormat="1" applyFont="1" applyFill="1" applyBorder="1" applyAlignment="1">
      <x:alignment vertical="top" wrapText="1"/>
    </x:xf>
    <x:xf numFmtId="202" fontId="6" fillId="5" borderId="21" xfId="0" applyNumberFormat="1" applyFont="1" applyFill="1" applyBorder="1" applyAlignment="1">
      <x:alignment vertical="top" wrapText="1"/>
    </x:xf>
    <x:xf numFmtId="203" fontId="6" fillId="5" borderId="20" xfId="0" applyNumberFormat="1" applyFont="1" applyFill="1" applyBorder="1" applyAlignment="1">
      <x:alignment vertical="top" wrapText="1"/>
    </x:xf>
    <x:xf numFmtId="203" fontId="6" fillId="5" borderId="21" xfId="0" applyNumberFormat="1" applyFont="1" applyFill="1" applyBorder="1" applyAlignment="1">
      <x:alignment vertical="top" wrapText="1"/>
    </x:xf>
    <x:xf numFmtId="203" fontId="6" fillId="0" borderId="20" xfId="0" applyNumberFormat="1" applyFont="1" applyFill="1" applyBorder="1" applyAlignment="1">
      <x:alignment vertical="top" wrapText="1"/>
    </x:xf>
    <x:xf numFmtId="203" fontId="6" fillId="0" borderId="2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22" xfId="0" applyNumberFormat="1" applyFont="1" applyFill="1" applyBorder="1"/>
    <x:xf numFmtId="0" fontId="8" fillId="5" borderId="23" xfId="0" applyNumberFormat="1" applyFont="1" applyFill="1" applyBorder="1"/>
    <x:xf numFmtId="0" fontId="8" fillId="5" borderId="24" xfId="0" applyNumberFormat="1" applyFont="1" applyFill="1" applyBorder="1"/>
    <x:xf numFmtId="0" fontId="8" fillId="5" borderId="25" xfId="0" applyNumberFormat="1" applyFont="1" applyFill="1" applyBorder="1"/>
    <x:xf numFmtId="0" fontId="8" fillId="5" borderId="26" xfId="0" applyNumberFormat="1" applyFont="1" applyFill="1" applyBorder="1"/>
    <x:xf numFmtId="0" fontId="8" fillId="5" borderId="27" xfId="0" applyNumberFormat="1" applyFont="1" applyFill="1" applyBorder="1"/>
    <x:xf numFmtId="0" fontId="8" fillId="5" borderId="28" xfId="0" applyNumberFormat="1" applyFont="1" applyFill="1" applyBorder="1"/>
    <x:xf numFmtId="0" fontId="8" fillId="5" borderId="29" xfId="0" applyNumberFormat="1" applyFont="1" applyFill="1" applyBorder="1"/>
    <x:xf numFmtId="0" fontId="8" fillId="5" borderId="30" xfId="0" applyNumberFormat="1" applyFont="1" applyFill="1" applyBorder="1"/>
    <x:xf numFmtId="0" fontId="8" fillId="5" borderId="31" xfId="0" applyNumberFormat="1" applyFont="1" applyFill="1" applyBorder="1"/>
    <x:xf numFmtId="0" fontId="8" fillId="5" borderId="32" xfId="0" applyNumberFormat="1" applyFont="1" applyFill="1" applyBorder="1"/>
    <x:xf numFmtId="0" fontId="8" fillId="5" borderId="33" xfId="0" applyNumberFormat="1" applyFont="1" applyFill="1" applyBorder="1"/>
    <x:xf numFmtId="0" fontId="8" fillId="5" borderId="34" xfId="0" applyNumberFormat="1" applyFont="1" applyFill="1" applyBorder="1"/>
    <x:xf numFmtId="0" fontId="8" fillId="5" borderId="35" xfId="0" applyNumberFormat="1" applyFont="1" applyFill="1" applyBorder="1"/>
    <x:xf numFmtId="0" fontId="8" fillId="5" borderId="36" xfId="0" applyNumberFormat="1" applyFont="1" applyFill="1" applyBorder="1"/>
    <x:xf numFmtId="0" fontId="8" fillId="5" borderId="37" xfId="0" applyNumberFormat="1" applyFont="1" applyFill="1" applyBorder="1"/>
    <x:xf numFmtId="0" fontId="8" fillId="5" borderId="22" xfId="0" applyNumberFormat="1" applyFont="1" applyFill="1" applyBorder="1" applyAlignment="1">
      <x:alignment wrapText="1"/>
    </x:xf>
    <x:xf numFmtId="0" fontId="8" fillId="5" borderId="23" xfId="0" applyNumberFormat="1" applyFont="1" applyFill="1" applyBorder="1" applyAlignment="1">
      <x:alignment wrapText="1"/>
    </x:xf>
    <x:xf numFmtId="0" fontId="8" fillId="5" borderId="24" xfId="0" applyNumberFormat="1" applyFont="1" applyFill="1" applyBorder="1" applyAlignment="1">
      <x:alignment wrapText="1"/>
    </x:xf>
    <x:xf numFmtId="0" fontId="8" fillId="5" borderId="25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26" xfId="0" applyNumberFormat="1" applyFont="1" applyFill="1" applyBorder="1" applyAlignment="1">
      <x:alignment wrapText="1"/>
    </x:xf>
    <x:xf numFmtId="0" fontId="8" fillId="5" borderId="27" xfId="0" applyNumberFormat="1" applyFont="1" applyFill="1" applyBorder="1" applyAlignment="1">
      <x:alignment wrapText="1"/>
    </x:xf>
    <x:xf numFmtId="0" fontId="8" fillId="5" borderId="28" xfId="0" applyNumberFormat="1" applyFont="1" applyFill="1" applyBorder="1" applyAlignment="1">
      <x:alignment wrapText="1"/>
    </x:xf>
    <x:xf numFmtId="0" fontId="8" fillId="5" borderId="29" xfId="0" applyNumberFormat="1" applyFont="1" applyFill="1" applyBorder="1" applyAlignment="1">
      <x:alignment wrapText="1"/>
    </x:xf>
    <x:xf numFmtId="0" fontId="8" fillId="5" borderId="30" xfId="0" applyNumberFormat="1" applyFont="1" applyFill="1" applyBorder="1" applyAlignment="1">
      <x:alignment wrapText="1"/>
    </x:xf>
    <x:xf numFmtId="0" fontId="8" fillId="5" borderId="31" xfId="0" applyNumberFormat="1" applyFont="1" applyFill="1" applyBorder="1" applyAlignment="1">
      <x:alignment wrapText="1"/>
    </x:xf>
    <x:xf numFmtId="0" fontId="8" fillId="5" borderId="32" xfId="0" applyNumberFormat="1" applyFont="1" applyFill="1" applyBorder="1" applyAlignment="1">
      <x:alignment wrapText="1"/>
    </x:xf>
    <x:xf numFmtId="0" fontId="8" fillId="5" borderId="33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wrapText="1"/>
    </x:xf>
    <x:xf numFmtId="0" fontId="8" fillId="5" borderId="34" xfId="0" applyNumberFormat="1" applyFont="1" applyFill="1" applyBorder="1" applyAlignment="1">
      <x:alignment wrapText="1"/>
    </x:xf>
    <x:xf numFmtId="0" fontId="8" fillId="5" borderId="35" xfId="0" applyNumberFormat="1" applyFont="1" applyFill="1" applyBorder="1" applyAlignment="1">
      <x:alignment wrapText="1"/>
    </x:xf>
    <x:xf numFmtId="0" fontId="8" fillId="5" borderId="36" xfId="0" applyNumberFormat="1" applyFont="1" applyFill="1" applyBorder="1" applyAlignment="1">
      <x:alignment wrapText="1"/>
    </x:xf>
    <x:xf numFmtId="0" fontId="8" fillId="5" borderId="37" xfId="0" applyNumberFormat="1" applyFont="1" applyFill="1" applyBorder="1" applyAlignment="1">
      <x:alignment wrapText="1"/>
    </x:xf>
    <x:xf numFmtId="0" fontId="8" fillId="5" borderId="22" xfId="0" applyNumberFormat="1" applyFont="1" applyFill="1" applyBorder="1" applyAlignment="1">
      <x:alignment vertical="top" wrapText="1"/>
    </x:xf>
    <x:xf numFmtId="0" fontId="8" fillId="5" borderId="23" xfId="0" applyNumberFormat="1" applyFont="1" applyFill="1" applyBorder="1" applyAlignment="1">
      <x:alignment vertical="top" wrapText="1"/>
    </x:xf>
    <x:xf numFmtId="0" fontId="8" fillId="5" borderId="24" xfId="0" applyNumberFormat="1" applyFont="1" applyFill="1" applyBorder="1" applyAlignment="1">
      <x:alignment vertical="top" wrapText="1"/>
    </x:xf>
    <x:xf numFmtId="0" fontId="8" fillId="5" borderId="25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8" fillId="5" borderId="26" xfId="0" applyNumberFormat="1" applyFont="1" applyFill="1" applyBorder="1" applyAlignment="1">
      <x:alignment vertical="top" wrapText="1"/>
    </x:xf>
    <x:xf numFmtId="0" fontId="8" fillId="5" borderId="27" xfId="0" applyNumberFormat="1" applyFont="1" applyFill="1" applyBorder="1" applyAlignment="1">
      <x:alignment vertical="top" wrapText="1"/>
    </x:xf>
    <x:xf numFmtId="0" fontId="8" fillId="5" borderId="28" xfId="0" applyNumberFormat="1" applyFont="1" applyFill="1" applyBorder="1" applyAlignment="1">
      <x:alignment vertical="top" wrapText="1"/>
    </x:xf>
    <x:xf numFmtId="0" fontId="8" fillId="5" borderId="29" xfId="0" applyNumberFormat="1" applyFont="1" applyFill="1" applyBorder="1" applyAlignment="1">
      <x:alignment vertical="top" wrapText="1"/>
    </x:xf>
    <x:xf numFmtId="0" fontId="8" fillId="5" borderId="30" xfId="0" applyNumberFormat="1" applyFont="1" applyFill="1" applyBorder="1" applyAlignment="1">
      <x:alignment vertical="top" wrapText="1"/>
    </x:xf>
    <x:xf numFmtId="0" fontId="8" fillId="5" borderId="31" xfId="0" applyNumberFormat="1" applyFont="1" applyFill="1" applyBorder="1" applyAlignment="1">
      <x:alignment vertical="top" wrapText="1"/>
    </x:xf>
    <x:xf numFmtId="0" fontId="8" fillId="5" borderId="32" xfId="0" applyNumberFormat="1" applyFont="1" applyFill="1" applyBorder="1" applyAlignment="1">
      <x:alignment vertical="top" wrapText="1"/>
    </x:xf>
    <x:xf numFmtId="0" fontId="8" fillId="5" borderId="33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8" fillId="5" borderId="34" xfId="0" applyNumberFormat="1" applyFont="1" applyFill="1" applyBorder="1" applyAlignment="1">
      <x:alignment vertical="top" wrapText="1"/>
    </x:xf>
    <x:xf numFmtId="0" fontId="8" fillId="5" borderId="35" xfId="0" applyNumberFormat="1" applyFont="1" applyFill="1" applyBorder="1" applyAlignment="1">
      <x:alignment vertical="top" wrapText="1"/>
    </x:xf>
    <x:xf numFmtId="0" fontId="8" fillId="5" borderId="36" xfId="0" applyNumberFormat="1" applyFont="1" applyFill="1" applyBorder="1" applyAlignment="1">
      <x:alignment vertical="top" wrapText="1"/>
    </x:xf>
    <x:xf numFmtId="0" fontId="8" fillId="5" borderId="3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f6a0843194d26" /><Relationship Type="http://schemas.openxmlformats.org/officeDocument/2006/relationships/theme" Target="/xl/theme/theme1.xml" Id="R363493d1e88744f6" /><Relationship Type="http://schemas.openxmlformats.org/officeDocument/2006/relationships/sharedStrings" Target="/xl/sharedStrings.xml" Id="R4093b08414e242ba" /><Relationship Type="http://schemas.openxmlformats.org/officeDocument/2006/relationships/worksheet" Target="/xl/worksheets/sheet1.xml" Id="Rac3350fe3d48473f" /><Relationship Type="http://schemas.openxmlformats.org/officeDocument/2006/relationships/worksheet" Target="/xl/worksheets/sheet2.xml" Id="Rea5d14dceeaa472f" /><Relationship Type="http://schemas.openxmlformats.org/officeDocument/2006/relationships/worksheet" Target="/xl/worksheets/sheet3.xml" Id="R16a0cf3add8b443f" /><Relationship Type="http://schemas.openxmlformats.org/officeDocument/2006/relationships/worksheet" Target="/xl/worksheets/sheet4.xml" Id="R8f3dbe7d50d84d6a" /><Relationship Type="http://schemas.openxmlformats.org/officeDocument/2006/relationships/worksheet" Target="/xl/worksheets/sheet5.xml" Id="R25f2a4ea54cc4a33" /><Relationship Type="http://schemas.openxmlformats.org/officeDocument/2006/relationships/worksheet" Target="/xl/worksheets/sheet6.xml" Id="R73c881ea95b74896" /><Relationship Type="http://schemas.openxmlformats.org/officeDocument/2006/relationships/worksheet" Target="/xl/worksheets/sheet7.xml" Id="Rd2ca4f3053554af7" /><Relationship Type="http://schemas.openxmlformats.org/officeDocument/2006/relationships/worksheet" Target="/xl/worksheets/sheet8.xml" Id="R42396efa4821479c" /></Relationships>
</file>

<file path=xl/tables/table1.xml><?xml version="1.0" encoding="utf-8"?>
<x:table xmlns:x="http://schemas.openxmlformats.org/spreadsheetml/2006/main" id="1" name="tblMetroFresh" displayName="tblMetroFresh" ref="A1:L121" headerRowCount="1" totalsRowCount="0" totalsRowShown="0">
  <x:tableColumns count="12">
    <x:tableColumn id="1" name="order_id"/>
    <x:tableColumn id="2" name="customer_id"/>
    <x:tableColumn id="3" name="order_date"/>
    <x:tableColumn id="4" name="fulfillment_hub"/>
    <x:tableColumn id="5" name="product_category"/>
    <x:tableColumn id="6" name="supplier_tier"/>
    <x:tableColumn id="7" name="items_ordered"/>
    <x:tableColumn id="8" name="items_unfulfilled"/>
    <x:tableColumn id="9" name="delivery_minutes"/>
    <x:tableColumn id="10" name="order_value"/>
    <x:tableColumn id="11" name="spoilage_units"/>
    <x:tableColumn id="12" name="customer_rating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tblParity" displayName="tblParity" ref="A5:G20" headerRowCount="1" totalsRowCount="0" totalsRowShown="0">
  <x:tableColumns count="7">
    <x:tableColumn id="1" name="Variable"/>
    <x:tableColumn id="2" name="Statistic"/>
    <x:tableColumn id="3" name="Excel result"/>
    <x:tableColumn id="4" name="SPSS result"/>
    <x:tableColumn id="5" name="Absolute difference"/>
    <x:tableColumn id="6" name="Tolerance"/>
    <x:tableColumn id="7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6c6f5035b74a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3ce8a6c346b144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9" hidden="0" customWidth="1"/>
    <x:col min="5" max="5" width="20" hidden="0" customWidth="1"/>
    <x:col min="6" max="6" width="16" hidden="0" customWidth="1"/>
    <x:col min="7" max="7" width="14" hidden="0" customWidth="1"/>
    <x:col min="8" max="8" width="17" hidden="0" customWidth="1"/>
    <x:col min="9" max="9" width="17" hidden="0" customWidth="1"/>
    <x:col min="10" max="10" width="14" hidden="0" customWidth="1"/>
    <x:col min="11" max="11" width="15" hidden="0" customWidth="1"/>
    <x:col min="12" max="12" width="16" hidden="0" customWidth="1"/>
  </x:cols>
  <x:sheetData>
    <x:row r="1">
      <x:c r="A1" s="40" t="str">
        <x:v>order_id</x:v>
      </x:c>
      <x:c r="B1" s="41" t="str">
        <x:v>customer_id</x:v>
      </x:c>
      <x:c r="C1" s="41" t="str">
        <x:v>order_date</x:v>
      </x:c>
      <x:c r="D1" s="41" t="str">
        <x:v>fulfillment_hub</x:v>
      </x:c>
      <x:c r="E1" s="41" t="str">
        <x:v>product_category</x:v>
      </x:c>
      <x:c r="F1" s="41" t="str">
        <x:v>supplier_tier</x:v>
      </x:c>
      <x:c r="G1" s="41" t="str">
        <x:v>items_ordered</x:v>
      </x:c>
      <x:c r="H1" s="41" t="str">
        <x:v>items_unfulfilled</x:v>
      </x:c>
      <x:c r="I1" s="41" t="str">
        <x:v>delivery_minutes</x:v>
      </x:c>
      <x:c r="J1" s="41" t="str">
        <x:v>order_value</x:v>
      </x:c>
      <x:c r="K1" s="41" t="str">
        <x:v>spoilage_units</x:v>
      </x:c>
      <x:c r="L1" s="42" t="str">
        <x:v>customer_rating</x:v>
      </x:c>
    </x:row>
    <x:row r="2">
      <x:c r="A2" s="7" t="str">
        <x:v>MF-0001</x:v>
      </x:c>
      <x:c r="B2" s="8" t="str">
        <x:v>C-001</x:v>
      </x:c>
      <x:c r="C2" s="46" t="str">
        <x:v>2026-08-01</x:v>
      </x:c>
      <x:c r="D2" s="8" t="str">
        <x:v>Newark</x:v>
      </x:c>
      <x:c r="E2" s="8" t="str">
        <x:v>Produce</x:v>
      </x:c>
      <x:c r="F2" s="8" t="str">
        <x:v>Standard</x:v>
      </x:c>
      <x:c r="G2" s="8" t="str">
        <x:v>18</x:v>
      </x:c>
      <x:c r="H2" s="8" t="str">
        <x:v>1</x:v>
      </x:c>
      <x:c r="I2" s="8" t="str">
        <x:v>58</x:v>
      </x:c>
      <x:c r="J2" s="50" t="str">
        <x:v>141.3</x:v>
      </x:c>
      <x:c r="K2" s="8" t="str">
        <x:v>0</x:v>
      </x:c>
      <x:c r="L2" s="9" t="str">
        <x:v>4</x:v>
      </x:c>
    </x:row>
    <x:row r="3">
      <x:c r="A3" s="7" t="str">
        <x:v>MF-0002</x:v>
      </x:c>
      <x:c r="B3" s="8" t="str">
        <x:v>C-018</x:v>
      </x:c>
      <x:c r="C3" s="46" t="str">
        <x:v>2026-08-02</x:v>
      </x:c>
      <x:c r="D3" s="8" t="str">
        <x:v>Philadelphia</x:v>
      </x:c>
      <x:c r="E3" s="8" t="str">
        <x:v>Seafood</x:v>
      </x:c>
      <x:c r="F3" s="8" t="str">
        <x:v>Strategic</x:v>
      </x:c>
      <x:c r="G3" s="8" t="str">
        <x:v>6</x:v>
      </x:c>
      <x:c r="H3" s="8" t="str">
        <x:v>0</x:v>
      </x:c>
      <x:c r="I3" s="8" t="str">
        <x:v>50</x:v>
      </x:c>
      <x:c r="J3" s="50" t="str">
        <x:v>62.41</x:v>
      </x:c>
      <x:c r="K3" s="8" t="str">
        <x:v>1</x:v>
      </x:c>
      <x:c r="L3" s="9" t="str">
        <x:v>5</x:v>
      </x:c>
    </x:row>
    <x:row r="4">
      <x:c r="A4" s="7" t="str">
        <x:v>MF-0003</x:v>
      </x:c>
      <x:c r="B4" s="8" t="str">
        <x:v>C-035</x:v>
      </x:c>
      <x:c r="C4" s="46" t="str">
        <x:v>2026-08-03</x:v>
      </x:c>
      <x:c r="D4" s="8" t="str">
        <x:v>Baltimore</x:v>
      </x:c>
      <x:c r="E4" s="8" t="str">
        <x:v>Dairy</x:v>
      </x:c>
      <x:c r="F4" s="8" t="str">
        <x:v>Preferred</x:v>
      </x:c>
      <x:c r="G4" s="8" t="str">
        <x:v>14</x:v>
      </x:c>
      <x:c r="H4" s="8" t="str">
        <x:v>0</x:v>
      </x:c>
      <x:c r="I4" s="8" t="str">
        <x:v>25</x:v>
      </x:c>
      <x:c r="J4" s="50" t="str">
        <x:v>103.23</x:v>
      </x:c>
      <x:c r="K4" s="8" t="str">
        <x:v>4</x:v>
      </x:c>
      <x:c r="L4" s="9" t="str">
        <x:v>4</x:v>
      </x:c>
    </x:row>
    <x:row r="5">
      <x:c r="A5" s="7" t="str">
        <x:v>MF-0004</x:v>
      </x:c>
      <x:c r="B5" s="8" t="str">
        <x:v>C-052</x:v>
      </x:c>
      <x:c r="C5" s="46" t="str">
        <x:v>2026-08-04</x:v>
      </x:c>
      <x:c r="D5" s="8" t="str">
        <x:v>Richmond</x:v>
      </x:c>
      <x:c r="E5" s="8" t="str">
        <x:v>Bakery</x:v>
      </x:c>
      <x:c r="F5" s="8" t="str">
        <x:v>Standard</x:v>
      </x:c>
      <x:c r="G5" s="8" t="str">
        <x:v>10</x:v>
      </x:c>
      <x:c r="H5" s="8" t="str">
        <x:v>0</x:v>
      </x:c>
      <x:c r="I5" s="8" t="str">
        <x:v>56</x:v>
      </x:c>
      <x:c r="J5" s="50" t="str">
        <x:v>111.94</x:v>
      </x:c>
      <x:c r="K5" s="8" t="str">
        <x:v>0</x:v>
      </x:c>
      <x:c r="L5" s="9" t="str">
        <x:v>5</x:v>
      </x:c>
    </x:row>
    <x:row r="6">
      <x:c r="A6" s="7" t="str">
        <x:v>MF-0005</x:v>
      </x:c>
      <x:c r="B6" s="8" t="str">
        <x:v>C-069</x:v>
      </x:c>
      <x:c r="C6" s="46" t="str">
        <x:v>2026-08-05</x:v>
      </x:c>
      <x:c r="D6" s="8" t="str">
        <x:v>Newark</x:v>
      </x:c>
      <x:c r="E6" s="8" t="str">
        <x:v>Prepared Foods</x:v>
      </x:c>
      <x:c r="F6" s="8" t="str">
        <x:v>Strategic</x:v>
      </x:c>
      <x:c r="G6" s="8" t="str">
        <x:v>17</x:v>
      </x:c>
      <x:c r="H6" s="8" t="str">
        <x:v>0</x:v>
      </x:c>
      <x:c r="I6" s="8" t="str">
        <x:v>61</x:v>
      </x:c>
      <x:c r="J6" s="50" t="str">
        <x:v>156.44</x:v>
      </x:c>
      <x:c r="K6" s="8" t="str">
        <x:v>0</x:v>
      </x:c>
      <x:c r="L6" s="9" t="str">
        <x:v>4</x:v>
      </x:c>
    </x:row>
    <x:row r="7">
      <x:c r="A7" s="7" t="str">
        <x:v>MF-0006</x:v>
      </x:c>
      <x:c r="B7" s="8" t="str">
        <x:v>C-010</x:v>
      </x:c>
      <x:c r="C7" s="46" t="str">
        <x:v>2026-08-06</x:v>
      </x:c>
      <x:c r="D7" s="8" t="str">
        <x:v>Philadelphia</x:v>
      </x:c>
      <x:c r="E7" s="8" t="str">
        <x:v>Produce</x:v>
      </x:c>
      <x:c r="F7" s="8" t="str">
        <x:v>Preferred</x:v>
      </x:c>
      <x:c r="G7" s="8" t="str">
        <x:v>25</x:v>
      </x:c>
      <x:c r="H7" s="8" t="str">
        <x:v>2</x:v>
      </x:c>
      <x:c r="I7" s="8" t="str">
        <x:v>52</x:v>
      </x:c>
      <x:c r="J7" s="50" t="str">
        <x:v>165.07</x:v>
      </x:c>
      <x:c r="K7" s="8" t="str">
        <x:v>0</x:v>
      </x:c>
      <x:c r="L7" s="9" t="str">
        <x:v>4</x:v>
      </x:c>
    </x:row>
    <x:row r="8">
      <x:c r="A8" s="7" t="str">
        <x:v>MF-0007</x:v>
      </x:c>
      <x:c r="B8" s="8" t="str">
        <x:v>C-027</x:v>
      </x:c>
      <x:c r="C8" s="46" t="str">
        <x:v>2026-08-07</x:v>
      </x:c>
      <x:c r="D8" s="8" t="str">
        <x:v>Baltimore</x:v>
      </x:c>
      <x:c r="E8" s="8" t="str">
        <x:v>Seafood</x:v>
      </x:c>
      <x:c r="F8" s="8" t="str">
        <x:v>Standard</x:v>
      </x:c>
      <x:c r="G8" s="8" t="str">
        <x:v>26</x:v>
      </x:c>
      <x:c r="H8" s="8" t="str">
        <x:v>0</x:v>
      </x:c>
      <x:c r="I8" s="8" t="str">
        <x:v>63</x:v>
      </x:c>
      <x:c r="J8" s="50" t="str">
        <x:v>167.15</x:v>
      </x:c>
      <x:c r="K8" s="8" t="str">
        <x:v>3</x:v>
      </x:c>
      <x:c r="L8" s="9" t="str">
        <x:v>4</x:v>
      </x:c>
    </x:row>
    <x:row r="9">
      <x:c r="A9" s="7" t="str">
        <x:v>MF-0008</x:v>
      </x:c>
      <x:c r="B9" s="8" t="str">
        <x:v>C-044</x:v>
      </x:c>
      <x:c r="C9" s="46" t="str">
        <x:v>2026-08-08</x:v>
      </x:c>
      <x:c r="D9" s="8" t="str">
        <x:v>Richmond</x:v>
      </x:c>
      <x:c r="E9" s="8" t="str">
        <x:v>Dairy</x:v>
      </x:c>
      <x:c r="F9" s="8" t="str">
        <x:v>Strategic</x:v>
      </x:c>
      <x:c r="G9" s="8" t="str">
        <x:v>24</x:v>
      </x:c>
      <x:c r="H9" s="8" t="str">
        <x:v>0</x:v>
      </x:c>
      <x:c r="I9" s="8" t="str">
        <x:v>53</x:v>
      </x:c>
      <x:c r="J9" s="50" t="str">
        <x:v>223.02</x:v>
      </x:c>
      <x:c r="K9" s="8" t="str">
        <x:v>0</x:v>
      </x:c>
      <x:c r="L9" s="9" t="str">
        <x:v>5</x:v>
      </x:c>
    </x:row>
    <x:row r="10">
      <x:c r="A10" s="7" t="str">
        <x:v>MF-0009</x:v>
      </x:c>
      <x:c r="B10" s="8" t="str">
        <x:v>C-061</x:v>
      </x:c>
      <x:c r="C10" s="46" t="str">
        <x:v>2026-08-09</x:v>
      </x:c>
      <x:c r="D10" s="8" t="str">
        <x:v>Newark</x:v>
      </x:c>
      <x:c r="E10" s="8" t="str">
        <x:v>Bakery</x:v>
      </x:c>
      <x:c r="F10" s="8" t="str">
        <x:v>Preferred</x:v>
      </x:c>
      <x:c r="G10" s="8" t="str">
        <x:v>14</x:v>
      </x:c>
      <x:c r="H10" s="8" t="str">
        <x:v>0</x:v>
      </x:c>
      <x:c r="I10" s="8" t="str">
        <x:v>35</x:v>
      </x:c>
      <x:c r="J10" s="50" t="str">
        <x:v>108.58</x:v>
      </x:c>
      <x:c r="K10" s="8" t="str">
        <x:v>0</x:v>
      </x:c>
      <x:c r="L10" s="9" t="str">
        <x:v>5</x:v>
      </x:c>
    </x:row>
    <x:row r="11">
      <x:c r="A11" s="7" t="str">
        <x:v>MF-0010</x:v>
      </x:c>
      <x:c r="B11" s="8" t="str">
        <x:v>C-002</x:v>
      </x:c>
      <x:c r="C11" s="46" t="str">
        <x:v>2026-08-10</x:v>
      </x:c>
      <x:c r="D11" s="8" t="str">
        <x:v>Philadelphia</x:v>
      </x:c>
      <x:c r="E11" s="8" t="str">
        <x:v>Prepared Foods</x:v>
      </x:c>
      <x:c r="F11" s="8" t="str">
        <x:v>Standard</x:v>
      </x:c>
      <x:c r="G11" s="8" t="str">
        <x:v>28</x:v>
      </x:c>
      <x:c r="H11" s="8" t="str">
        <x:v>0</x:v>
      </x:c>
      <x:c r="I11" s="8" t="str">
        <x:v>57</x:v>
      </x:c>
      <x:c r="J11" s="50" t="str">
        <x:v>242.46</x:v>
      </x:c>
      <x:c r="K11" s="8" t="str">
        <x:v>4</x:v>
      </x:c>
      <x:c r="L11" s="9" t="str">
        <x:v>4</x:v>
      </x:c>
    </x:row>
    <x:row r="12">
      <x:c r="A12" s="7" t="str">
        <x:v>MF-0011</x:v>
      </x:c>
      <x:c r="B12" s="8" t="str">
        <x:v>C-019</x:v>
      </x:c>
      <x:c r="C12" s="46" t="str">
        <x:v>2026-08-11</x:v>
      </x:c>
      <x:c r="D12" s="8" t="str">
        <x:v>Baltimore</x:v>
      </x:c>
      <x:c r="E12" s="8" t="str">
        <x:v>Produce</x:v>
      </x:c>
      <x:c r="F12" s="8" t="str">
        <x:v>Strategic</x:v>
      </x:c>
      <x:c r="G12" s="8" t="str">
        <x:v>23</x:v>
      </x:c>
      <x:c r="H12" s="8" t="str">
        <x:v>0</x:v>
      </x:c>
      <x:c r="I12" s="8" t="str">
        <x:v>59</x:v>
      </x:c>
      <x:c r="J12" s="50" t="str">
        <x:v>154.22</x:v>
      </x:c>
      <x:c r="K12" s="8" t="str">
        <x:v>4</x:v>
      </x:c>
      <x:c r="L12" s="9" t="str">
        <x:v>4</x:v>
      </x:c>
    </x:row>
    <x:row r="13">
      <x:c r="A13" s="7" t="str">
        <x:v>MF-0012</x:v>
      </x:c>
      <x:c r="B13" s="8" t="str">
        <x:v>C-036</x:v>
      </x:c>
      <x:c r="C13" s="46" t="str">
        <x:v>2026-08-12</x:v>
      </x:c>
      <x:c r="D13" s="8" t="str">
        <x:v>Richmond</x:v>
      </x:c>
      <x:c r="E13" s="8" t="str">
        <x:v>Seafood</x:v>
      </x:c>
      <x:c r="F13" s="8" t="str">
        <x:v>Preferred</x:v>
      </x:c>
      <x:c r="G13" s="8" t="str">
        <x:v>12</x:v>
      </x:c>
      <x:c r="H13" s="8" t="str">
        <x:v>0</x:v>
      </x:c>
      <x:c r="I13" s="8" t="str">
        <x:v>52</x:v>
      </x:c>
      <x:c r="J13" s="50" t="str">
        <x:v>87.02</x:v>
      </x:c>
      <x:c r="K13" s="8" t="str">
        <x:v>1</x:v>
      </x:c>
      <x:c r="L13" s="9" t="str">
        <x:v>5</x:v>
      </x:c>
    </x:row>
    <x:row r="14">
      <x:c r="A14" s="7" t="str">
        <x:v>MF-0013</x:v>
      </x:c>
      <x:c r="B14" s="8" t="str">
        <x:v>C-053</x:v>
      </x:c>
      <x:c r="C14" s="46" t="str">
        <x:v>2026-08-13</x:v>
      </x:c>
      <x:c r="D14" s="8" t="str">
        <x:v>Newark</x:v>
      </x:c>
      <x:c r="E14" s="8" t="str">
        <x:v>Dairy</x:v>
      </x:c>
      <x:c r="F14" s="8" t="str">
        <x:v>Standard</x:v>
      </x:c>
      <x:c r="G14" s="8" t="str">
        <x:v>18</x:v>
      </x:c>
      <x:c r="H14" s="8" t="str">
        <x:v>0</x:v>
      </x:c>
      <x:c r="I14" s="8" t="str">
        <x:v>31</x:v>
      </x:c>
      <x:c r="J14" s="50" t="str">
        <x:v>126.8</x:v>
      </x:c>
      <x:c r="K14" s="8" t="str">
        <x:v>2</x:v>
      </x:c>
      <x:c r="L14" s="9" t="str">
        <x:v>4</x:v>
      </x:c>
    </x:row>
    <x:row r="15">
      <x:c r="A15" s="7" t="str">
        <x:v>MF-0014</x:v>
      </x:c>
      <x:c r="B15" s="8" t="str">
        <x:v>C-070</x:v>
      </x:c>
      <x:c r="C15" s="46" t="str">
        <x:v>2026-08-14</x:v>
      </x:c>
      <x:c r="D15" s="8" t="str">
        <x:v>Philadelphia</x:v>
      </x:c>
      <x:c r="E15" s="8" t="str">
        <x:v>Bakery</x:v>
      </x:c>
      <x:c r="F15" s="8" t="str">
        <x:v>Strategic</x:v>
      </x:c>
      <x:c r="G15" s="8" t="str">
        <x:v>13</x:v>
      </x:c>
      <x:c r="H15" s="8" t="str">
        <x:v>0</x:v>
      </x:c>
      <x:c r="I15" s="8" t="str">
        <x:v>49</x:v>
      </x:c>
      <x:c r="J15" s="50" t="str">
        <x:v>105.91</x:v>
      </x:c>
      <x:c r="K15" s="8" t="str">
        <x:v>3</x:v>
      </x:c>
      <x:c r="L15" s="9" t="str">
        <x:v>4</x:v>
      </x:c>
    </x:row>
    <x:row r="16">
      <x:c r="A16" s="7" t="str">
        <x:v>MF-0015</x:v>
      </x:c>
      <x:c r="B16" s="8" t="str">
        <x:v>C-011</x:v>
      </x:c>
      <x:c r="C16" s="46" t="str">
        <x:v>2026-08-15</x:v>
      </x:c>
      <x:c r="D16" s="8" t="str">
        <x:v>Baltimore</x:v>
      </x:c>
      <x:c r="E16" s="8" t="str">
        <x:v>Prepared Foods</x:v>
      </x:c>
      <x:c r="F16" s="8" t="str">
        <x:v>Preferred</x:v>
      </x:c>
      <x:c r="G16" s="8" t="str">
        <x:v>15</x:v>
      </x:c>
      <x:c r="H16" s="8" t="str">
        <x:v>3</x:v>
      </x:c>
      <x:c r="I16" s="8" t="str">
        <x:v>35</x:v>
      </x:c>
      <x:c r="J16" s="50" t="str">
        <x:v>151.91</x:v>
      </x:c>
      <x:c r="K16" s="8" t="str">
        <x:v>0</x:v>
      </x:c>
      <x:c r="L16" s="9" t="str">
        <x:v>4</x:v>
      </x:c>
    </x:row>
    <x:row r="17">
      <x:c r="A17" s="7" t="str">
        <x:v>MF-0016</x:v>
      </x:c>
      <x:c r="B17" s="8" t="str">
        <x:v>C-028</x:v>
      </x:c>
      <x:c r="C17" s="46" t="str">
        <x:v>2026-08-16</x:v>
      </x:c>
      <x:c r="D17" s="8" t="str">
        <x:v>Richmond</x:v>
      </x:c>
      <x:c r="E17" s="8" t="str">
        <x:v>Produce</x:v>
      </x:c>
      <x:c r="F17" s="8" t="str">
        <x:v>Standard</x:v>
      </x:c>
      <x:c r="G17" s="8" t="str">
        <x:v>21</x:v>
      </x:c>
      <x:c r="H17" s="8" t="str">
        <x:v>0</x:v>
      </x:c>
      <x:c r="I17" s="8" t="str">
        <x:v>39</x:v>
      </x:c>
      <x:c r="J17" s="50" t="str">
        <x:v>175.04</x:v>
      </x:c>
      <x:c r="K17" s="8" t="str">
        <x:v>4</x:v>
      </x:c>
      <x:c r="L17" s="9" t="str">
        <x:v>4</x:v>
      </x:c>
    </x:row>
    <x:row r="18">
      <x:c r="A18" s="7" t="str">
        <x:v>MF-0017</x:v>
      </x:c>
      <x:c r="B18" s="8" t="str">
        <x:v>C-045</x:v>
      </x:c>
      <x:c r="C18" s="46" t="str">
        <x:v>2026-08-17</x:v>
      </x:c>
      <x:c r="D18" s="8" t="str">
        <x:v>Newark</x:v>
      </x:c>
      <x:c r="E18" s="8" t="str">
        <x:v>Seafood</x:v>
      </x:c>
      <x:c r="F18" s="8" t="str">
        <x:v>Strategic</x:v>
      </x:c>
      <x:c r="G18" s="8" t="str">
        <x:v>4</x:v>
      </x:c>
      <x:c r="H18" s="8" t="str">
        <x:v>0</x:v>
      </x:c>
      <x:c r="I18" s="8" t="str"/>
      <x:c r="J18" s="50" t="str">
        <x:v>46.04</x:v>
      </x:c>
      <x:c r="K18" s="8" t="str">
        <x:v>3</x:v>
      </x:c>
      <x:c r="L18" s="9" t="str">
        <x:v>4</x:v>
      </x:c>
    </x:row>
    <x:row r="19">
      <x:c r="A19" s="7" t="str">
        <x:v>MF-0018</x:v>
      </x:c>
      <x:c r="B19" s="8" t="str">
        <x:v>C-062</x:v>
      </x:c>
      <x:c r="C19" s="46" t="str">
        <x:v>2026-08-18</x:v>
      </x:c>
      <x:c r="D19" s="8" t="str">
        <x:v>Philadelphia</x:v>
      </x:c>
      <x:c r="E19" s="8" t="str">
        <x:v>Dairy</x:v>
      </x:c>
      <x:c r="F19" s="8" t="str">
        <x:v>Preferred</x:v>
      </x:c>
      <x:c r="G19" s="8" t="str">
        <x:v>18</x:v>
      </x:c>
      <x:c r="H19" s="8" t="str">
        <x:v>0</x:v>
      </x:c>
      <x:c r="I19" s="8" t="str">
        <x:v>53</x:v>
      </x:c>
      <x:c r="J19" s="50" t="str">
        <x:v>154.63</x:v>
      </x:c>
      <x:c r="K19" s="8" t="str">
        <x:v>0</x:v>
      </x:c>
      <x:c r="L19" s="9" t="str">
        <x:v>5</x:v>
      </x:c>
    </x:row>
    <x:row r="20">
      <x:c r="A20" s="7" t="str">
        <x:v>MF-0019</x:v>
      </x:c>
      <x:c r="B20" s="8" t="str">
        <x:v>C-003</x:v>
      </x:c>
      <x:c r="C20" s="46" t="str">
        <x:v>2026-08-19</x:v>
      </x:c>
      <x:c r="D20" s="8" t="str">
        <x:v>Baltimore</x:v>
      </x:c>
      <x:c r="E20" s="8" t="str">
        <x:v>Bakery</x:v>
      </x:c>
      <x:c r="F20" s="8" t="str">
        <x:v>Standard</x:v>
      </x:c>
      <x:c r="G20" s="8" t="str">
        <x:v>8</x:v>
      </x:c>
      <x:c r="H20" s="8" t="str">
        <x:v>0</x:v>
      </x:c>
      <x:c r="I20" s="8" t="str">
        <x:v>42</x:v>
      </x:c>
      <x:c r="J20" s="50" t="str">
        <x:v>89.75</x:v>
      </x:c>
      <x:c r="K20" s="8" t="str">
        <x:v>2</x:v>
      </x:c>
      <x:c r="L20" s="9" t="str">
        <x:v>5</x:v>
      </x:c>
    </x:row>
    <x:row r="21">
      <x:c r="A21" s="7" t="str">
        <x:v>MF-0020</x:v>
      </x:c>
      <x:c r="B21" s="8" t="str">
        <x:v>C-020</x:v>
      </x:c>
      <x:c r="C21" s="46" t="str">
        <x:v>2026-08-20</x:v>
      </x:c>
      <x:c r="D21" s="8" t="str">
        <x:v>Richmond</x:v>
      </x:c>
      <x:c r="E21" s="8" t="str">
        <x:v>Prepared Foods</x:v>
      </x:c>
      <x:c r="F21" s="8" t="str">
        <x:v>Strategic</x:v>
      </x:c>
      <x:c r="G21" s="8" t="str">
        <x:v>26</x:v>
      </x:c>
      <x:c r="H21" s="8" t="str">
        <x:v>0</x:v>
      </x:c>
      <x:c r="I21" s="8" t="str">
        <x:v>28</x:v>
      </x:c>
      <x:c r="J21" s="50" t="str">
        <x:v>157.93</x:v>
      </x:c>
      <x:c r="K21" s="8" t="str">
        <x:v>1</x:v>
      </x:c>
      <x:c r="L21" s="9" t="str">
        <x:v>5</x:v>
      </x:c>
    </x:row>
    <x:row r="22">
      <x:c r="A22" s="7" t="str">
        <x:v>MF-0021</x:v>
      </x:c>
      <x:c r="B22" s="8" t="str">
        <x:v>C-037</x:v>
      </x:c>
      <x:c r="C22" s="46" t="str">
        <x:v>2026-08-21</x:v>
      </x:c>
      <x:c r="D22" s="8" t="str">
        <x:v>Newark</x:v>
      </x:c>
      <x:c r="E22" s="8" t="str">
        <x:v>Produce</x:v>
      </x:c>
      <x:c r="F22" s="8" t="str">
        <x:v>Preferred</x:v>
      </x:c>
      <x:c r="G22" s="8" t="str">
        <x:v>8</x:v>
      </x:c>
      <x:c r="H22" s="8" t="str">
        <x:v>0</x:v>
      </x:c>
      <x:c r="I22" s="8" t="str">
        <x:v>28</x:v>
      </x:c>
      <x:c r="J22" s="50" t="str">
        <x:v>84.16</x:v>
      </x:c>
      <x:c r="K22" s="8" t="str">
        <x:v>0</x:v>
      </x:c>
      <x:c r="L22" s="9" t="str">
        <x:v>5</x:v>
      </x:c>
    </x:row>
    <x:row r="23">
      <x:c r="A23" s="7" t="str">
        <x:v>MF-0022</x:v>
      </x:c>
      <x:c r="B23" s="8" t="str">
        <x:v>C-054</x:v>
      </x:c>
      <x:c r="C23" s="46" t="str">
        <x:v>2026-08-22</x:v>
      </x:c>
      <x:c r="D23" s="8" t="str">
        <x:v>Philadelphia</x:v>
      </x:c>
      <x:c r="E23" s="8" t="str">
        <x:v>Seafood</x:v>
      </x:c>
      <x:c r="F23" s="8" t="str">
        <x:v>Standard</x:v>
      </x:c>
      <x:c r="G23" s="8" t="str">
        <x:v>23</x:v>
      </x:c>
      <x:c r="H23" s="8" t="str">
        <x:v>3</x:v>
      </x:c>
      <x:c r="I23" s="8" t="str">
        <x:v>53</x:v>
      </x:c>
      <x:c r="J23" s="50" t="str">
        <x:v>178.06</x:v>
      </x:c>
      <x:c r="K23" s="8" t="str">
        <x:v>0</x:v>
      </x:c>
      <x:c r="L23" s="9" t="str">
        <x:v>4</x:v>
      </x:c>
    </x:row>
    <x:row r="24">
      <x:c r="A24" s="7" t="str">
        <x:v>MF-0023</x:v>
      </x:c>
      <x:c r="B24" s="8" t="str">
        <x:v>C-071</x:v>
      </x:c>
      <x:c r="C24" s="46" t="str">
        <x:v>2026-08-23</x:v>
      </x:c>
      <x:c r="D24" s="8" t="str">
        <x:v>Baltimore</x:v>
      </x:c>
      <x:c r="E24" s="8" t="str">
        <x:v>Dairy</x:v>
      </x:c>
      <x:c r="F24" s="8" t="str">
        <x:v>Strategic</x:v>
      </x:c>
      <x:c r="G24" s="8" t="str">
        <x:v>24</x:v>
      </x:c>
      <x:c r="H24" s="8" t="str">
        <x:v>0</x:v>
      </x:c>
      <x:c r="I24" s="8" t="str">
        <x:v>28</x:v>
      </x:c>
      <x:c r="J24" s="50" t="str">
        <x:v>225.11</x:v>
      </x:c>
      <x:c r="K24" s="8" t="str">
        <x:v>0</x:v>
      </x:c>
      <x:c r="L24" s="9" t="str">
        <x:v>5</x:v>
      </x:c>
    </x:row>
    <x:row r="25">
      <x:c r="A25" s="7" t="str">
        <x:v>MF-0024</x:v>
      </x:c>
      <x:c r="B25" s="8" t="str">
        <x:v>C-012</x:v>
      </x:c>
      <x:c r="C25" s="46" t="str">
        <x:v>2026-08-24</x:v>
      </x:c>
      <x:c r="D25" s="8" t="str">
        <x:v>Richmond</x:v>
      </x:c>
      <x:c r="E25" s="8" t="str">
        <x:v>Bakery</x:v>
      </x:c>
      <x:c r="F25" s="8" t="str">
        <x:v>Preferred</x:v>
      </x:c>
      <x:c r="G25" s="8" t="str">
        <x:v>22</x:v>
      </x:c>
      <x:c r="H25" s="8" t="str">
        <x:v>0</x:v>
      </x:c>
      <x:c r="I25" s="8" t="str">
        <x:v>51</x:v>
      </x:c>
      <x:c r="J25" s="50" t="str">
        <x:v>219.17</x:v>
      </x:c>
      <x:c r="K25" s="8" t="str">
        <x:v>0</x:v>
      </x:c>
      <x:c r="L25" s="9" t="str">
        <x:v>5</x:v>
      </x:c>
    </x:row>
    <x:row r="26">
      <x:c r="A26" s="7" t="str">
        <x:v>MF-0025</x:v>
      </x:c>
      <x:c r="B26" s="8" t="str">
        <x:v>C-029</x:v>
      </x:c>
      <x:c r="C26" s="46" t="str">
        <x:v>2026-08-25</x:v>
      </x:c>
      <x:c r="D26" s="8" t="str">
        <x:v>Newark</x:v>
      </x:c>
      <x:c r="E26" s="8" t="str">
        <x:v>Prepared Foods</x:v>
      </x:c>
      <x:c r="F26" s="8" t="str">
        <x:v>Standard</x:v>
      </x:c>
      <x:c r="G26" s="8" t="str">
        <x:v>17</x:v>
      </x:c>
      <x:c r="H26" s="8" t="str">
        <x:v>0</x:v>
      </x:c>
      <x:c r="I26" s="8" t="str">
        <x:v>45</x:v>
      </x:c>
      <x:c r="J26" s="50" t="str">
        <x:v>110.82</x:v>
      </x:c>
      <x:c r="K26" s="8" t="str">
        <x:v>0</x:v>
      </x:c>
      <x:c r="L26" s="9" t="str">
        <x:v>5</x:v>
      </x:c>
    </x:row>
    <x:row r="27">
      <x:c r="A27" s="7" t="str">
        <x:v>MF-0026</x:v>
      </x:c>
      <x:c r="B27" s="8" t="str">
        <x:v>C-046</x:v>
      </x:c>
      <x:c r="C27" s="46" t="str">
        <x:v>2026-08-26</x:v>
      </x:c>
      <x:c r="D27" s="8" t="str">
        <x:v>Philadelphia</x:v>
      </x:c>
      <x:c r="E27" s="8" t="str">
        <x:v>Produce</x:v>
      </x:c>
      <x:c r="F27" s="8" t="str">
        <x:v>Strategic</x:v>
      </x:c>
      <x:c r="G27" s="8" t="str">
        <x:v>21</x:v>
      </x:c>
      <x:c r="H27" s="8" t="str">
        <x:v>0</x:v>
      </x:c>
      <x:c r="I27" s="8" t="str">
        <x:v>47</x:v>
      </x:c>
      <x:c r="J27" s="50" t="str">
        <x:v>194.02</x:v>
      </x:c>
      <x:c r="K27" s="8" t="str">
        <x:v>0</x:v>
      </x:c>
      <x:c r="L27" s="9" t="str">
        <x:v>5</x:v>
      </x:c>
    </x:row>
    <x:row r="28">
      <x:c r="A28" s="7" t="str">
        <x:v>MF-0027</x:v>
      </x:c>
      <x:c r="B28" s="8" t="str">
        <x:v>C-063</x:v>
      </x:c>
      <x:c r="C28" s="46" t="str">
        <x:v>2026-08-27</x:v>
      </x:c>
      <x:c r="D28" s="8" t="str">
        <x:v>Baltimore</x:v>
      </x:c>
      <x:c r="E28" s="8" t="str">
        <x:v>Seafood</x:v>
      </x:c>
      <x:c r="F28" s="8" t="str">
        <x:v>Preferred</x:v>
      </x:c>
      <x:c r="G28" s="8" t="str">
        <x:v>7</x:v>
      </x:c>
      <x:c r="H28" s="8" t="str">
        <x:v>1</x:v>
      </x:c>
      <x:c r="I28" s="8" t="str">
        <x:v>27</x:v>
      </x:c>
      <x:c r="J28" s="50" t="str">
        <x:v>60.66</x:v>
      </x:c>
      <x:c r="K28" s="8" t="str">
        <x:v>3</x:v>
      </x:c>
      <x:c r="L28" s="9" t="str">
        <x:v>4</x:v>
      </x:c>
    </x:row>
    <x:row r="29">
      <x:c r="A29" s="7" t="str">
        <x:v>MF-0028</x:v>
      </x:c>
      <x:c r="B29" s="8" t="str">
        <x:v>C-004</x:v>
      </x:c>
      <x:c r="C29" s="46" t="str">
        <x:v>2026-08-28</x:v>
      </x:c>
      <x:c r="D29" s="8" t="str">
        <x:v>Richmond</x:v>
      </x:c>
      <x:c r="E29" s="8" t="str">
        <x:v>Dairy</x:v>
      </x:c>
      <x:c r="F29" s="8" t="str">
        <x:v>Standard</x:v>
      </x:c>
      <x:c r="G29" s="8" t="str">
        <x:v>7</x:v>
      </x:c>
      <x:c r="H29" s="8" t="str">
        <x:v>0</x:v>
      </x:c>
      <x:c r="I29" s="8" t="str">
        <x:v>61</x:v>
      </x:c>
      <x:c r="J29" s="50" t="str">
        <x:v>77.24</x:v>
      </x:c>
      <x:c r="K29" s="8" t="str">
        <x:v>4</x:v>
      </x:c>
      <x:c r="L29" s="9" t="str">
        <x:v>3</x:v>
      </x:c>
    </x:row>
    <x:row r="30">
      <x:c r="A30" s="7" t="str">
        <x:v>MF-0029</x:v>
      </x:c>
      <x:c r="B30" s="8" t="str">
        <x:v>C-021</x:v>
      </x:c>
      <x:c r="C30" s="46" t="str">
        <x:v>2026-08-01</x:v>
      </x:c>
      <x:c r="D30" s="8" t="str">
        <x:v>Newark</x:v>
      </x:c>
      <x:c r="E30" s="8" t="str">
        <x:v>Bakery</x:v>
      </x:c>
      <x:c r="F30" s="8" t="str">
        <x:v>Strategic</x:v>
      </x:c>
      <x:c r="G30" s="8" t="str">
        <x:v>17</x:v>
      </x:c>
      <x:c r="H30" s="8" t="str">
        <x:v>1</x:v>
      </x:c>
      <x:c r="I30" s="8" t="str">
        <x:v>45</x:v>
      </x:c>
      <x:c r="J30" s="50" t="str">
        <x:v>112.6</x:v>
      </x:c>
      <x:c r="K30" s="8" t="str">
        <x:v>0</x:v>
      </x:c>
      <x:c r="L30" s="9" t="str">
        <x:v>4</x:v>
      </x:c>
    </x:row>
    <x:row r="31">
      <x:c r="A31" s="7" t="str">
        <x:v>MF-0030</x:v>
      </x:c>
      <x:c r="B31" s="8" t="str">
        <x:v>C-038</x:v>
      </x:c>
      <x:c r="C31" s="46" t="str">
        <x:v>2026-08-02</x:v>
      </x:c>
      <x:c r="D31" s="8" t="str">
        <x:v>Philadelphia</x:v>
      </x:c>
      <x:c r="E31" s="8" t="str">
        <x:v>Prepared Foods</x:v>
      </x:c>
      <x:c r="F31" s="8" t="str">
        <x:v>Preferred</x:v>
      </x:c>
      <x:c r="G31" s="8" t="str">
        <x:v>22</x:v>
      </x:c>
      <x:c r="H31" s="8" t="str">
        <x:v>3</x:v>
      </x:c>
      <x:c r="I31" s="8" t="str">
        <x:v>46</x:v>
      </x:c>
      <x:c r="J31" s="50" t="str">
        <x:v>190.75</x:v>
      </x:c>
      <x:c r="K31" s="8" t="str">
        <x:v>0</x:v>
      </x:c>
      <x:c r="L31" s="9" t="str">
        <x:v>3</x:v>
      </x:c>
    </x:row>
    <x:row r="32">
      <x:c r="A32" s="7" t="str">
        <x:v>MF-0031</x:v>
      </x:c>
      <x:c r="B32" s="8" t="str">
        <x:v>C-055</x:v>
      </x:c>
      <x:c r="C32" s="46" t="str">
        <x:v>2026-08-03</x:v>
      </x:c>
      <x:c r="D32" s="8" t="str">
        <x:v>Baltimore</x:v>
      </x:c>
      <x:c r="E32" s="8" t="str">
        <x:v>Produce</x:v>
      </x:c>
      <x:c r="F32" s="8" t="str">
        <x:v>Standard</x:v>
      </x:c>
      <x:c r="G32" s="8" t="str">
        <x:v>24</x:v>
      </x:c>
      <x:c r="H32" s="8" t="str">
        <x:v>0</x:v>
      </x:c>
      <x:c r="I32" s="8" t="str">
        <x:v>47</x:v>
      </x:c>
      <x:c r="J32" s="50" t="str">
        <x:v>198.72</x:v>
      </x:c>
      <x:c r="K32" s="8" t="str">
        <x:v>0</x:v>
      </x:c>
      <x:c r="L32" s="9" t="str">
        <x:v>5</x:v>
      </x:c>
    </x:row>
    <x:row r="33">
      <x:c r="A33" s="7" t="str">
        <x:v>MF-0032</x:v>
      </x:c>
      <x:c r="B33" s="8" t="str">
        <x:v>C-072</x:v>
      </x:c>
      <x:c r="C33" s="46" t="str">
        <x:v>2026-08-04</x:v>
      </x:c>
      <x:c r="D33" s="8" t="str">
        <x:v>Richmond</x:v>
      </x:c>
      <x:c r="E33" s="8" t="str">
        <x:v>Seafood</x:v>
      </x:c>
      <x:c r="F33" s="8" t="str">
        <x:v>Strategic</x:v>
      </x:c>
      <x:c r="G33" s="8" t="str">
        <x:v>29</x:v>
      </x:c>
      <x:c r="H33" s="8" t="str">
        <x:v>1</x:v>
      </x:c>
      <x:c r="I33" s="8" t="str">
        <x:v>49</x:v>
      </x:c>
      <x:c r="J33" s="50" t="str">
        <x:v>212.49</x:v>
      </x:c>
      <x:c r="K33" s="8" t="str">
        <x:v>0</x:v>
      </x:c>
      <x:c r="L33" s="9" t="str">
        <x:v>4</x:v>
      </x:c>
    </x:row>
    <x:row r="34">
      <x:c r="A34" s="7" t="str">
        <x:v>MF-0033</x:v>
      </x:c>
      <x:c r="B34" s="8" t="str">
        <x:v>C-013</x:v>
      </x:c>
      <x:c r="C34" s="46" t="str">
        <x:v>2026-08-05</x:v>
      </x:c>
      <x:c r="D34" s="8" t="str">
        <x:v>Newark</x:v>
      </x:c>
      <x:c r="E34" s="8" t="str">
        <x:v>Dairy</x:v>
      </x:c>
      <x:c r="F34" s="8" t="str">
        <x:v>Preferred</x:v>
      </x:c>
      <x:c r="G34" s="8" t="str">
        <x:v>12</x:v>
      </x:c>
      <x:c r="H34" s="8" t="str">
        <x:v>0</x:v>
      </x:c>
      <x:c r="I34" s="8" t="str">
        <x:v>38</x:v>
      </x:c>
      <x:c r="J34" s="50" t="str">
        <x:v>108.17</x:v>
      </x:c>
      <x:c r="K34" s="8" t="str">
        <x:v>1</x:v>
      </x:c>
      <x:c r="L34" s="9" t="str">
        <x:v>5</x:v>
      </x:c>
    </x:row>
    <x:row r="35">
      <x:c r="A35" s="7" t="str">
        <x:v>MF-0034</x:v>
      </x:c>
      <x:c r="B35" s="8" t="str">
        <x:v>C-030</x:v>
      </x:c>
      <x:c r="C35" s="46" t="str">
        <x:v>2026-08-06</x:v>
      </x:c>
      <x:c r="D35" s="8" t="str">
        <x:v>Philadelphia</x:v>
      </x:c>
      <x:c r="E35" s="8" t="str">
        <x:v>Bakery</x:v>
      </x:c>
      <x:c r="F35" s="8" t="str">
        <x:v>Standard</x:v>
      </x:c>
      <x:c r="G35" s="8" t="str">
        <x:v>12</x:v>
      </x:c>
      <x:c r="H35" s="8" t="str">
        <x:v>0</x:v>
      </x:c>
      <x:c r="I35" s="8" t="str">
        <x:v>51</x:v>
      </x:c>
      <x:c r="J35" s="50" t="str">
        <x:v>112.08</x:v>
      </x:c>
      <x:c r="K35" s="8" t="str">
        <x:v>0</x:v>
      </x:c>
      <x:c r="L35" s="9" t="str">
        <x:v>5</x:v>
      </x:c>
    </x:row>
    <x:row r="36">
      <x:c r="A36" s="7" t="str">
        <x:v>MF-0035</x:v>
      </x:c>
      <x:c r="B36" s="8" t="str">
        <x:v>C-047</x:v>
      </x:c>
      <x:c r="C36" s="46" t="str">
        <x:v>2026-08-07</x:v>
      </x:c>
      <x:c r="D36" s="8" t="str">
        <x:v>Baltimore</x:v>
      </x:c>
      <x:c r="E36" s="8" t="str">
        <x:v>Prepared Foods</x:v>
      </x:c>
      <x:c r="F36" s="8" t="str">
        <x:v>Strategic</x:v>
      </x:c>
      <x:c r="G36" s="8" t="str">
        <x:v>28</x:v>
      </x:c>
      <x:c r="H36" s="8" t="str">
        <x:v>0</x:v>
      </x:c>
      <x:c r="I36" s="8" t="str">
        <x:v>24</x:v>
      </x:c>
      <x:c r="J36" s="50" t="str">
        <x:v>269.43</x:v>
      </x:c>
      <x:c r="K36" s="8" t="str">
        <x:v>0</x:v>
      </x:c>
      <x:c r="L36" s="9" t="str">
        <x:v>5</x:v>
      </x:c>
    </x:row>
    <x:row r="37">
      <x:c r="A37" s="7" t="str">
        <x:v>MF-0036</x:v>
      </x:c>
      <x:c r="B37" s="8" t="str">
        <x:v>C-064</x:v>
      </x:c>
      <x:c r="C37" s="46" t="str">
        <x:v>2026-08-08</x:v>
      </x:c>
      <x:c r="D37" s="8" t="str">
        <x:v>Richmond</x:v>
      </x:c>
      <x:c r="E37" s="8" t="str">
        <x:v>Produce</x:v>
      </x:c>
      <x:c r="F37" s="8" t="str">
        <x:v>Preferred</x:v>
      </x:c>
      <x:c r="G37" s="8" t="str">
        <x:v>5</x:v>
      </x:c>
      <x:c r="H37" s="8" t="str">
        <x:v>0</x:v>
      </x:c>
      <x:c r="I37" s="8" t="str">
        <x:v>52</x:v>
      </x:c>
      <x:c r="J37" s="50" t="str">
        <x:v>50.62</x:v>
      </x:c>
      <x:c r="K37" s="8" t="str">
        <x:v>0</x:v>
      </x:c>
      <x:c r="L37" s="9" t="str">
        <x:v>5</x:v>
      </x:c>
    </x:row>
    <x:row r="38">
      <x:c r="A38" s="7" t="str">
        <x:v>MF-0037</x:v>
      </x:c>
      <x:c r="B38" s="8" t="str">
        <x:v>C-005</x:v>
      </x:c>
      <x:c r="C38" s="46" t="str">
        <x:v>2026-08-09</x:v>
      </x:c>
      <x:c r="D38" s="8" t="str">
        <x:v>Newark</x:v>
      </x:c>
      <x:c r="E38" s="8" t="str">
        <x:v>Seafood</x:v>
      </x:c>
      <x:c r="F38" s="8" t="str">
        <x:v>Standard</x:v>
      </x:c>
      <x:c r="G38" s="8" t="str">
        <x:v>28</x:v>
      </x:c>
      <x:c r="H38" s="8" t="str">
        <x:v>0</x:v>
      </x:c>
      <x:c r="I38" s="8" t="str">
        <x:v>59</x:v>
      </x:c>
      <x:c r="J38" s="50" t="str">
        <x:v>234.41</x:v>
      </x:c>
      <x:c r="K38" s="8" t="str">
        <x:v>0</x:v>
      </x:c>
      <x:c r="L38" s="9" t="str">
        <x:v>5</x:v>
      </x:c>
    </x:row>
    <x:row r="39">
      <x:c r="A39" s="7" t="str">
        <x:v>MF-0038</x:v>
      </x:c>
      <x:c r="B39" s="8" t="str">
        <x:v>C-022</x:v>
      </x:c>
      <x:c r="C39" s="46" t="str">
        <x:v>2026-08-10</x:v>
      </x:c>
      <x:c r="D39" s="8" t="str">
        <x:v>Philadelphia</x:v>
      </x:c>
      <x:c r="E39" s="8" t="str">
        <x:v>Dairy</x:v>
      </x:c>
      <x:c r="F39" s="8" t="str">
        <x:v>Strategic</x:v>
      </x:c>
      <x:c r="G39" s="8" t="str">
        <x:v>18</x:v>
      </x:c>
      <x:c r="H39" s="8" t="str">
        <x:v>0</x:v>
      </x:c>
      <x:c r="I39" s="8" t="str">
        <x:v>32</x:v>
      </x:c>
      <x:c r="J39" s="50" t="str">
        <x:v>170.67</x:v>
      </x:c>
      <x:c r="K39" s="8" t="str">
        <x:v>0</x:v>
      </x:c>
      <x:c r="L39" s="9" t="str">
        <x:v>5</x:v>
      </x:c>
    </x:row>
    <x:row r="40">
      <x:c r="A40" s="7" t="str">
        <x:v>MF-0039</x:v>
      </x:c>
      <x:c r="B40" s="8" t="str">
        <x:v>C-039</x:v>
      </x:c>
      <x:c r="C40" s="46" t="str">
        <x:v>2026-08-11</x:v>
      </x:c>
      <x:c r="D40" s="8" t="str">
        <x:v>Baltimore</x:v>
      </x:c>
      <x:c r="E40" s="8" t="str">
        <x:v>Bakery</x:v>
      </x:c>
      <x:c r="F40" s="8" t="str">
        <x:v>Preferred</x:v>
      </x:c>
      <x:c r="G40" s="8" t="str">
        <x:v>20</x:v>
      </x:c>
      <x:c r="H40" s="8" t="str">
        <x:v>0</x:v>
      </x:c>
      <x:c r="I40" s="8" t="str">
        <x:v>53</x:v>
      </x:c>
      <x:c r="J40" s="50" t="str">
        <x:v>192.21</x:v>
      </x:c>
      <x:c r="K40" s="8" t="str">
        <x:v>0</x:v>
      </x:c>
      <x:c r="L40" s="9" t="str">
        <x:v>5</x:v>
      </x:c>
    </x:row>
    <x:row r="41">
      <x:c r="A41" s="7" t="str">
        <x:v>MF-0040</x:v>
      </x:c>
      <x:c r="B41" s="8" t="str">
        <x:v>C-056</x:v>
      </x:c>
      <x:c r="C41" s="46" t="str">
        <x:v>2026-08-12</x:v>
      </x:c>
      <x:c r="D41" s="8" t="str">
        <x:v>Richmond</x:v>
      </x:c>
      <x:c r="E41" s="8" t="str">
        <x:v>Prepared Foods</x:v>
      </x:c>
      <x:c r="F41" s="8" t="str">
        <x:v>Standard</x:v>
      </x:c>
      <x:c r="G41" s="8" t="str">
        <x:v>14</x:v>
      </x:c>
      <x:c r="H41" s="8" t="str">
        <x:v>0</x:v>
      </x:c>
      <x:c r="I41" s="8" t="str">
        <x:v>49</x:v>
      </x:c>
      <x:c r="J41" s="50" t="str">
        <x:v>134.75</x:v>
      </x:c>
      <x:c r="K41" s="8" t="str">
        <x:v>1</x:v>
      </x:c>
      <x:c r="L41" s="9" t="str">
        <x:v>5</x:v>
      </x:c>
    </x:row>
    <x:row r="42">
      <x:c r="A42" s="7" t="str">
        <x:v>MF-0041</x:v>
      </x:c>
      <x:c r="B42" s="8" t="str">
        <x:v>C-073</x:v>
      </x:c>
      <x:c r="C42" s="46" t="str">
        <x:v>2026-08-13</x:v>
      </x:c>
      <x:c r="D42" s="8" t="str">
        <x:v>Newark</x:v>
      </x:c>
      <x:c r="E42" s="8" t="str">
        <x:v>Produce</x:v>
      </x:c>
      <x:c r="F42" s="8" t="str">
        <x:v>Strategic</x:v>
      </x:c>
      <x:c r="G42" s="8" t="str">
        <x:v>15</x:v>
      </x:c>
      <x:c r="H42" s="8" t="str">
        <x:v>2</x:v>
      </x:c>
      <x:c r="I42" s="8" t="str">
        <x:v>46</x:v>
      </x:c>
      <x:c r="J42" s="50" t="str">
        <x:v>127.33</x:v>
      </x:c>
      <x:c r="K42" s="8" t="str">
        <x:v>0</x:v>
      </x:c>
      <x:c r="L42" s="9" t="str">
        <x:v>4</x:v>
      </x:c>
    </x:row>
    <x:row r="43">
      <x:c r="A43" s="7" t="str">
        <x:v>MF-0042</x:v>
      </x:c>
      <x:c r="B43" s="8" t="str">
        <x:v>C-014</x:v>
      </x:c>
      <x:c r="C43" s="46" t="str">
        <x:v>2026-08-14</x:v>
      </x:c>
      <x:c r="D43" s="8" t="str">
        <x:v>Philadelphia</x:v>
      </x:c>
      <x:c r="E43" s="8" t="str">
        <x:v>Seafood</x:v>
      </x:c>
      <x:c r="F43" s="8" t="str">
        <x:v>Preferred</x:v>
      </x:c>
      <x:c r="G43" s="8" t="str">
        <x:v>9</x:v>
      </x:c>
      <x:c r="H43" s="8" t="str">
        <x:v>1</x:v>
      </x:c>
      <x:c r="I43" s="8" t="str">
        <x:v>51</x:v>
      </x:c>
      <x:c r="J43" s="50" t="str">
        <x:v>72.86</x:v>
      </x:c>
      <x:c r="K43" s="8" t="str">
        <x:v>0</x:v>
      </x:c>
      <x:c r="L43" s="9" t="str">
        <x:v>5</x:v>
      </x:c>
    </x:row>
    <x:row r="44">
      <x:c r="A44" s="7" t="str">
        <x:v>MF-0043</x:v>
      </x:c>
      <x:c r="B44" s="8" t="str">
        <x:v>C-031</x:v>
      </x:c>
      <x:c r="C44" s="46" t="str">
        <x:v>2026-08-15</x:v>
      </x:c>
      <x:c r="D44" s="8" t="str">
        <x:v>Baltimore</x:v>
      </x:c>
      <x:c r="E44" s="8" t="str">
        <x:v>Dairy</x:v>
      </x:c>
      <x:c r="F44" s="8" t="str">
        <x:v>Standard</x:v>
      </x:c>
      <x:c r="G44" s="8" t="str">
        <x:v>6</x:v>
      </x:c>
      <x:c r="H44" s="8" t="str">
        <x:v>0</x:v>
      </x:c>
      <x:c r="I44" s="8" t="str">
        <x:v>43</x:v>
      </x:c>
      <x:c r="J44" s="50" t="str">
        <x:v>72.43</x:v>
      </x:c>
      <x:c r="K44" s="8" t="str">
        <x:v>0</x:v>
      </x:c>
      <x:c r="L44" s="9" t="str">
        <x:v>5</x:v>
      </x:c>
    </x:row>
    <x:row r="45">
      <x:c r="A45" s="7" t="str">
        <x:v>MF-0044</x:v>
      </x:c>
      <x:c r="B45" s="8" t="str">
        <x:v>C-048</x:v>
      </x:c>
      <x:c r="C45" s="46" t="str">
        <x:v>2026-08-16</x:v>
      </x:c>
      <x:c r="D45" s="8" t="str">
        <x:v>Richmond</x:v>
      </x:c>
      <x:c r="E45" s="8" t="str">
        <x:v>Bakery</x:v>
      </x:c>
      <x:c r="F45" s="8" t="str">
        <x:v>Strategic</x:v>
      </x:c>
      <x:c r="G45" s="8" t="str">
        <x:v>20</x:v>
      </x:c>
      <x:c r="H45" s="8" t="str">
        <x:v>0</x:v>
      </x:c>
      <x:c r="I45" s="8" t="str">
        <x:v>49</x:v>
      </x:c>
      <x:c r="J45" s="50" t="str">
        <x:v>150.23</x:v>
      </x:c>
      <x:c r="K45" s="8" t="str">
        <x:v>0</x:v>
      </x:c>
      <x:c r="L45" s="9" t="str">
        <x:v>5</x:v>
      </x:c>
    </x:row>
    <x:row r="46">
      <x:c r="A46" s="7" t="str">
        <x:v>MF-0045</x:v>
      </x:c>
      <x:c r="B46" s="8" t="str">
        <x:v>C-065</x:v>
      </x:c>
      <x:c r="C46" s="46" t="str">
        <x:v>2026-08-17</x:v>
      </x:c>
      <x:c r="D46" s="8" t="str">
        <x:v>Newark</x:v>
      </x:c>
      <x:c r="E46" s="8" t="str">
        <x:v>Prepared Foods</x:v>
      </x:c>
      <x:c r="F46" s="8" t="str">
        <x:v>Preferred</x:v>
      </x:c>
      <x:c r="G46" s="8" t="str">
        <x:v>6</x:v>
      </x:c>
      <x:c r="H46" s="8" t="str">
        <x:v>0</x:v>
      </x:c>
      <x:c r="I46" s="8" t="str">
        <x:v>38</x:v>
      </x:c>
      <x:c r="J46" s="50" t="str">
        <x:v>73.23</x:v>
      </x:c>
      <x:c r="K46" s="8" t="str">
        <x:v>4</x:v>
      </x:c>
      <x:c r="L46" s="9" t="str">
        <x:v>4</x:v>
      </x:c>
    </x:row>
    <x:row r="47">
      <x:c r="A47" s="7" t="str">
        <x:v>MF-0046</x:v>
      </x:c>
      <x:c r="B47" s="8" t="str">
        <x:v>C-006</x:v>
      </x:c>
      <x:c r="C47" s="46" t="str">
        <x:v>2026-08-18</x:v>
      </x:c>
      <x:c r="D47" s="8" t="str">
        <x:v>Philadelphia</x:v>
      </x:c>
      <x:c r="E47" s="8" t="str">
        <x:v>Produce</x:v>
      </x:c>
      <x:c r="F47" s="8" t="str">
        <x:v>Standard</x:v>
      </x:c>
      <x:c r="G47" s="8" t="str">
        <x:v>25</x:v>
      </x:c>
      <x:c r="H47" s="8" t="str">
        <x:v>0</x:v>
      </x:c>
      <x:c r="I47" s="8" t="str">
        <x:v>24</x:v>
      </x:c>
      <x:c r="J47" s="50" t="str">
        <x:v>178.85</x:v>
      </x:c>
      <x:c r="K47" s="8" t="str">
        <x:v>0</x:v>
      </x:c>
      <x:c r="L47" s="9" t="str">
        <x:v>5</x:v>
      </x:c>
    </x:row>
    <x:row r="48">
      <x:c r="A48" s="7" t="str">
        <x:v>MF-0047</x:v>
      </x:c>
      <x:c r="B48" s="8" t="str">
        <x:v>C-023</x:v>
      </x:c>
      <x:c r="C48" s="46" t="str">
        <x:v>2026-08-19</x:v>
      </x:c>
      <x:c r="D48" s="8" t="str">
        <x:v>Baltimore</x:v>
      </x:c>
      <x:c r="E48" s="8" t="str">
        <x:v>Seafood</x:v>
      </x:c>
      <x:c r="F48" s="8" t="str">
        <x:v>Strategic</x:v>
      </x:c>
      <x:c r="G48" s="8" t="str">
        <x:v>26</x:v>
      </x:c>
      <x:c r="H48" s="8" t="str">
        <x:v>0</x:v>
      </x:c>
      <x:c r="I48" s="8" t="str">
        <x:v>40</x:v>
      </x:c>
      <x:c r="J48" s="50" t="str">
        <x:v>210.56</x:v>
      </x:c>
      <x:c r="K48" s="8" t="str">
        <x:v>0</x:v>
      </x:c>
      <x:c r="L48" s="9" t="str">
        <x:v>5</x:v>
      </x:c>
    </x:row>
    <x:row r="49">
      <x:c r="A49" s="7" t="str">
        <x:v>MF-0048</x:v>
      </x:c>
      <x:c r="B49" s="8" t="str">
        <x:v>C-040</x:v>
      </x:c>
      <x:c r="C49" s="46" t="str">
        <x:v>2026-08-20</x:v>
      </x:c>
      <x:c r="D49" s="8" t="str">
        <x:v>Richmond</x:v>
      </x:c>
      <x:c r="E49" s="8" t="str">
        <x:v>Dairy</x:v>
      </x:c>
      <x:c r="F49" s="8" t="str">
        <x:v>Preferred</x:v>
      </x:c>
      <x:c r="G49" s="8" t="str">
        <x:v>22</x:v>
      </x:c>
      <x:c r="H49" s="8" t="str">
        <x:v>0</x:v>
      </x:c>
      <x:c r="I49" s="8" t="str">
        <x:v>30</x:v>
      </x:c>
      <x:c r="J49" s="50" t="str">
        <x:v>187.06</x:v>
      </x:c>
      <x:c r="K49" s="8" t="str">
        <x:v>0</x:v>
      </x:c>
      <x:c r="L49" s="9" t="str">
        <x:v>5</x:v>
      </x:c>
    </x:row>
    <x:row r="50">
      <x:c r="A50" s="7" t="str">
        <x:v>MF-0049</x:v>
      </x:c>
      <x:c r="B50" s="8" t="str">
        <x:v>C-057</x:v>
      </x:c>
      <x:c r="C50" s="46" t="str">
        <x:v>2026-08-21</x:v>
      </x:c>
      <x:c r="D50" s="8" t="str">
        <x:v>Newark</x:v>
      </x:c>
      <x:c r="E50" s="8" t="str">
        <x:v>Bakery</x:v>
      </x:c>
      <x:c r="F50" s="8" t="str">
        <x:v>Standard</x:v>
      </x:c>
      <x:c r="G50" s="8" t="str">
        <x:v>29</x:v>
      </x:c>
      <x:c r="H50" s="8" t="str">
        <x:v>0</x:v>
      </x:c>
      <x:c r="I50" s="8" t="str">
        <x:v>59</x:v>
      </x:c>
      <x:c r="J50" s="50" t="str">
        <x:v>279.74</x:v>
      </x:c>
      <x:c r="K50" s="8" t="str">
        <x:v>0</x:v>
      </x:c>
      <x:c r="L50" s="9" t="str">
        <x:v>5</x:v>
      </x:c>
    </x:row>
    <x:row r="51">
      <x:c r="A51" s="7" t="str">
        <x:v>MF-0050</x:v>
      </x:c>
      <x:c r="B51" s="8" t="str">
        <x:v>C-074</x:v>
      </x:c>
      <x:c r="C51" s="46" t="str">
        <x:v>2026-08-22</x:v>
      </x:c>
      <x:c r="D51" s="8" t="str">
        <x:v>Philadelphia</x:v>
      </x:c>
      <x:c r="E51" s="8" t="str">
        <x:v>Prepared Foods</x:v>
      </x:c>
      <x:c r="F51" s="8" t="str">
        <x:v>Strategic</x:v>
      </x:c>
      <x:c r="G51" s="8" t="str">
        <x:v>4</x:v>
      </x:c>
      <x:c r="H51" s="8" t="str">
        <x:v>0</x:v>
      </x:c>
      <x:c r="I51" s="8" t="str">
        <x:v>54</x:v>
      </x:c>
      <x:c r="J51" s="50" t="str">
        <x:v>45.87</x:v>
      </x:c>
      <x:c r="K51" s="8" t="str">
        <x:v>1</x:v>
      </x:c>
      <x:c r="L51" s="9" t="str">
        <x:v>5</x:v>
      </x:c>
    </x:row>
    <x:row r="52">
      <x:c r="A52" s="7" t="str">
        <x:v>MF-0051</x:v>
      </x:c>
      <x:c r="B52" s="8" t="str">
        <x:v>C-015</x:v>
      </x:c>
      <x:c r="C52" s="46" t="str">
        <x:v>2026-08-23</x:v>
      </x:c>
      <x:c r="D52" s="8" t="str">
        <x:v>Baltimore</x:v>
      </x:c>
      <x:c r="E52" s="8" t="str">
        <x:v>Produce</x:v>
      </x:c>
      <x:c r="F52" s="8" t="str">
        <x:v>Preferred</x:v>
      </x:c>
      <x:c r="G52" s="8" t="str">
        <x:v>28</x:v>
      </x:c>
      <x:c r="H52" s="8" t="str">
        <x:v>0</x:v>
      </x:c>
      <x:c r="I52" s="8" t="str">
        <x:v>40</x:v>
      </x:c>
      <x:c r="J52" s="50" t="str">
        <x:v>186.54</x:v>
      </x:c>
      <x:c r="K52" s="8" t="str">
        <x:v>0</x:v>
      </x:c>
      <x:c r="L52" s="9" t="str">
        <x:v>5</x:v>
      </x:c>
    </x:row>
    <x:row r="53">
      <x:c r="A53" s="7" t="str">
        <x:v>MF-0052</x:v>
      </x:c>
      <x:c r="B53" s="8" t="str">
        <x:v>C-032</x:v>
      </x:c>
      <x:c r="C53" s="46" t="str">
        <x:v>2026-08-24</x:v>
      </x:c>
      <x:c r="D53" s="8" t="str">
        <x:v>Richmond</x:v>
      </x:c>
      <x:c r="E53" s="8" t="str">
        <x:v>Seafood</x:v>
      </x:c>
      <x:c r="F53" s="8" t="str">
        <x:v>Standard</x:v>
      </x:c>
      <x:c r="G53" s="8" t="str">
        <x:v>28</x:v>
      </x:c>
      <x:c r="H53" s="8" t="str">
        <x:v>3</x:v>
      </x:c>
      <x:c r="I53" s="8" t="str">
        <x:v>57</x:v>
      </x:c>
      <x:c r="J53" s="50" t="str">
        <x:v>209.31</x:v>
      </x:c>
      <x:c r="K53" s="8" t="str">
        <x:v>0</x:v>
      </x:c>
      <x:c r="L53" s="9" t="str">
        <x:v>3</x:v>
      </x:c>
    </x:row>
    <x:row r="54">
      <x:c r="A54" s="7" t="str">
        <x:v>MF-0053</x:v>
      </x:c>
      <x:c r="B54" s="8" t="str">
        <x:v>C-049</x:v>
      </x:c>
      <x:c r="C54" s="46" t="str">
        <x:v>2026-08-25</x:v>
      </x:c>
      <x:c r="D54" s="8" t="str">
        <x:v>Newark</x:v>
      </x:c>
      <x:c r="E54" s="8" t="str">
        <x:v>Dairy</x:v>
      </x:c>
      <x:c r="F54" s="8" t="str">
        <x:v>Strategic</x:v>
      </x:c>
      <x:c r="G54" s="8" t="str">
        <x:v>19</x:v>
      </x:c>
      <x:c r="H54" s="8" t="str">
        <x:v>0</x:v>
      </x:c>
      <x:c r="I54" s="8" t="str">
        <x:v>42</x:v>
      </x:c>
      <x:c r="J54" s="50" t="str">
        <x:v>137.57</x:v>
      </x:c>
      <x:c r="K54" s="8" t="str">
        <x:v>0</x:v>
      </x:c>
      <x:c r="L54" s="9" t="str">
        <x:v>5</x:v>
      </x:c>
    </x:row>
    <x:row r="55">
      <x:c r="A55" s="7" t="str">
        <x:v>MF-0054</x:v>
      </x:c>
      <x:c r="B55" s="8" t="str">
        <x:v>C-066</x:v>
      </x:c>
      <x:c r="C55" s="46" t="str">
        <x:v>2026-08-26</x:v>
      </x:c>
      <x:c r="D55" s="8" t="str">
        <x:v>Philadelphia</x:v>
      </x:c>
      <x:c r="E55" s="8" t="str">
        <x:v>Bakery</x:v>
      </x:c>
      <x:c r="F55" s="8" t="str">
        <x:v>Preferred</x:v>
      </x:c>
      <x:c r="G55" s="8" t="str">
        <x:v>10</x:v>
      </x:c>
      <x:c r="H55" s="8" t="str">
        <x:v>0</x:v>
      </x:c>
      <x:c r="I55" s="8" t="str">
        <x:v>36</x:v>
      </x:c>
      <x:c r="J55" s="50" t="str">
        <x:v>83.53</x:v>
      </x:c>
      <x:c r="K55" s="8" t="str">
        <x:v>0</x:v>
      </x:c>
      <x:c r="L55" s="9" t="str">
        <x:v>5</x:v>
      </x:c>
    </x:row>
    <x:row r="56">
      <x:c r="A56" s="7" t="str">
        <x:v>MF-0055</x:v>
      </x:c>
      <x:c r="B56" s="8" t="str">
        <x:v>C-007</x:v>
      </x:c>
      <x:c r="C56" s="46" t="str">
        <x:v>2026-08-27</x:v>
      </x:c>
      <x:c r="D56" s="8" t="str">
        <x:v>Baltimore</x:v>
      </x:c>
      <x:c r="E56" s="8" t="str">
        <x:v>Prepared Foods</x:v>
      </x:c>
      <x:c r="F56" s="8" t="str">
        <x:v>Standard</x:v>
      </x:c>
      <x:c r="G56" s="8" t="str">
        <x:v>9</x:v>
      </x:c>
      <x:c r="H56" s="8" t="str">
        <x:v>0</x:v>
      </x:c>
      <x:c r="I56" s="8" t="str">
        <x:v>33</x:v>
      </x:c>
      <x:c r="J56" s="50" t="str">
        <x:v>100.01</x:v>
      </x:c>
      <x:c r="K56" s="8" t="str">
        <x:v>0</x:v>
      </x:c>
      <x:c r="L56" s="9" t="str">
        <x:v>5</x:v>
      </x:c>
    </x:row>
    <x:row r="57">
      <x:c r="A57" s="7" t="str">
        <x:v>MF-0056</x:v>
      </x:c>
      <x:c r="B57" s="8" t="str">
        <x:v>C-024</x:v>
      </x:c>
      <x:c r="C57" s="46" t="str">
        <x:v>2026-08-28</x:v>
      </x:c>
      <x:c r="D57" s="8" t="str">
        <x:v>Richmond</x:v>
      </x:c>
      <x:c r="E57" s="8" t="str">
        <x:v>Produce</x:v>
      </x:c>
      <x:c r="F57" s="8" t="str">
        <x:v>Strategic</x:v>
      </x:c>
      <x:c r="G57" s="8" t="str">
        <x:v>12</x:v>
      </x:c>
      <x:c r="H57" s="8" t="str">
        <x:v>1</x:v>
      </x:c>
      <x:c r="I57" s="8" t="str">
        <x:v>39</x:v>
      </x:c>
      <x:c r="J57" s="50" t="str">
        <x:v>112.2</x:v>
      </x:c>
      <x:c r="K57" s="8" t="str">
        <x:v>0</x:v>
      </x:c>
      <x:c r="L57" s="9" t="str">
        <x:v>5</x:v>
      </x:c>
    </x:row>
    <x:row r="58">
      <x:c r="A58" s="7" t="str">
        <x:v>MF-0057</x:v>
      </x:c>
      <x:c r="B58" s="8" t="str">
        <x:v>C-041</x:v>
      </x:c>
      <x:c r="C58" s="46" t="str">
        <x:v>2026-08-01</x:v>
      </x:c>
      <x:c r="D58" s="8" t="str">
        <x:v>Newark</x:v>
      </x:c>
      <x:c r="E58" s="8" t="str">
        <x:v>Seafood</x:v>
      </x:c>
      <x:c r="F58" s="8" t="str">
        <x:v>Preferred</x:v>
      </x:c>
      <x:c r="G58" s="8" t="str">
        <x:v>5</x:v>
      </x:c>
      <x:c r="H58" s="8" t="str">
        <x:v>1</x:v>
      </x:c>
      <x:c r="I58" s="8" t="str">
        <x:v>47</x:v>
      </x:c>
      <x:c r="J58" s="50" t="str">
        <x:v>48.87</x:v>
      </x:c>
      <x:c r="K58" s="8" t="str">
        <x:v>0</x:v>
      </x:c>
      <x:c r="L58" s="9" t="str">
        <x:v>4</x:v>
      </x:c>
    </x:row>
    <x:row r="59">
      <x:c r="A59" s="7" t="str">
        <x:v>MF-0058</x:v>
      </x:c>
      <x:c r="B59" s="8" t="str">
        <x:v>C-058</x:v>
      </x:c>
      <x:c r="C59" s="46" t="str">
        <x:v>2026-08-02</x:v>
      </x:c>
      <x:c r="D59" s="8" t="str">
        <x:v>Philadelphia</x:v>
      </x:c>
      <x:c r="E59" s="8" t="str">
        <x:v>Dairy</x:v>
      </x:c>
      <x:c r="F59" s="8" t="str">
        <x:v>Standard</x:v>
      </x:c>
      <x:c r="G59" s="8" t="str">
        <x:v>28</x:v>
      </x:c>
      <x:c r="H59" s="8" t="str">
        <x:v>0</x:v>
      </x:c>
      <x:c r="I59" s="8" t="str">
        <x:v>62</x:v>
      </x:c>
      <x:c r="J59" s="50" t="str">
        <x:v>254.08</x:v>
      </x:c>
      <x:c r="K59" s="8" t="str">
        <x:v>0</x:v>
      </x:c>
      <x:c r="L59" s="9" t="str">
        <x:v>4</x:v>
      </x:c>
    </x:row>
    <x:row r="60">
      <x:c r="A60" s="7" t="str">
        <x:v>MF-0059</x:v>
      </x:c>
      <x:c r="B60" s="8" t="str">
        <x:v>C-075</x:v>
      </x:c>
      <x:c r="C60" s="46" t="str">
        <x:v>2026-08-03</x:v>
      </x:c>
      <x:c r="D60" s="8" t="str">
        <x:v>Baltimore</x:v>
      </x:c>
      <x:c r="E60" s="8" t="str">
        <x:v>Bakery</x:v>
      </x:c>
      <x:c r="F60" s="8" t="str">
        <x:v>Strategic</x:v>
      </x:c>
      <x:c r="G60" s="8" t="str">
        <x:v>13</x:v>
      </x:c>
      <x:c r="H60" s="8" t="str">
        <x:v>2</x:v>
      </x:c>
      <x:c r="I60" s="8" t="str">
        <x:v>28</x:v>
      </x:c>
      <x:c r="J60" s="50" t="str"/>
      <x:c r="K60" s="8" t="str">
        <x:v>0</x:v>
      </x:c>
      <x:c r="L60" s="9" t="str">
        <x:v>4</x:v>
      </x:c>
    </x:row>
    <x:row r="61">
      <x:c r="A61" s="7" t="str">
        <x:v>MF-0060</x:v>
      </x:c>
      <x:c r="B61" s="8" t="str">
        <x:v>C-016</x:v>
      </x:c>
      <x:c r="C61" s="46" t="str">
        <x:v>2026-08-04</x:v>
      </x:c>
      <x:c r="D61" s="8" t="str">
        <x:v>Richmond</x:v>
      </x:c>
      <x:c r="E61" s="8" t="str">
        <x:v>Prepared Foods</x:v>
      </x:c>
      <x:c r="F61" s="8" t="str">
        <x:v>Preferred</x:v>
      </x:c>
      <x:c r="G61" s="8" t="str">
        <x:v>16</x:v>
      </x:c>
      <x:c r="H61" s="8" t="str">
        <x:v>0</x:v>
      </x:c>
      <x:c r="I61" s="8" t="str">
        <x:v>29</x:v>
      </x:c>
      <x:c r="J61" s="50" t="str">
        <x:v>115.54</x:v>
      </x:c>
      <x:c r="K61" s="8" t="str">
        <x:v>0</x:v>
      </x:c>
      <x:c r="L61" s="9" t="str">
        <x:v>5</x:v>
      </x:c>
    </x:row>
    <x:row r="62">
      <x:c r="A62" s="7" t="str">
        <x:v>MF-0061</x:v>
      </x:c>
      <x:c r="B62" s="8" t="str">
        <x:v>C-033</x:v>
      </x:c>
      <x:c r="C62" s="46" t="str">
        <x:v>2026-08-05</x:v>
      </x:c>
      <x:c r="D62" s="8" t="str">
        <x:v>Newark</x:v>
      </x:c>
      <x:c r="E62" s="8" t="str">
        <x:v>Produce</x:v>
      </x:c>
      <x:c r="F62" s="8" t="str">
        <x:v>Standard</x:v>
      </x:c>
      <x:c r="G62" s="8" t="str">
        <x:v>22</x:v>
      </x:c>
      <x:c r="H62" s="8" t="str">
        <x:v>0</x:v>
      </x:c>
      <x:c r="I62" s="8" t="str">
        <x:v>27</x:v>
      </x:c>
      <x:c r="J62" s="50" t="str">
        <x:v>194.68</x:v>
      </x:c>
      <x:c r="K62" s="8" t="str">
        <x:v>3</x:v>
      </x:c>
      <x:c r="L62" s="9" t="str">
        <x:v>4</x:v>
      </x:c>
    </x:row>
    <x:row r="63">
      <x:c r="A63" s="7" t="str">
        <x:v>MF-0062</x:v>
      </x:c>
      <x:c r="B63" s="8" t="str">
        <x:v>C-050</x:v>
      </x:c>
      <x:c r="C63" s="46" t="str">
        <x:v>2026-08-06</x:v>
      </x:c>
      <x:c r="D63" s="8" t="str">
        <x:v>Philadelphia</x:v>
      </x:c>
      <x:c r="E63" s="8" t="str">
        <x:v>Seafood</x:v>
      </x:c>
      <x:c r="F63" s="8" t="str">
        <x:v>Strategic</x:v>
      </x:c>
      <x:c r="G63" s="8" t="str">
        <x:v>14</x:v>
      </x:c>
      <x:c r="H63" s="8" t="str">
        <x:v>0</x:v>
      </x:c>
      <x:c r="I63" s="8" t="str">
        <x:v>55</x:v>
      </x:c>
      <x:c r="J63" s="50" t="str">
        <x:v>105.04</x:v>
      </x:c>
      <x:c r="K63" s="8" t="str">
        <x:v>0</x:v>
      </x:c>
      <x:c r="L63" s="9" t="str">
        <x:v>5</x:v>
      </x:c>
    </x:row>
    <x:row r="64">
      <x:c r="A64" s="7" t="str">
        <x:v>MF-0063</x:v>
      </x:c>
      <x:c r="B64" s="8" t="str">
        <x:v>C-067</x:v>
      </x:c>
      <x:c r="C64" s="46" t="str">
        <x:v>2026-08-07</x:v>
      </x:c>
      <x:c r="D64" s="8" t="str">
        <x:v>Baltimore</x:v>
      </x:c>
      <x:c r="E64" s="8" t="str">
        <x:v>Dairy</x:v>
      </x:c>
      <x:c r="F64" s="8" t="str">
        <x:v>Preferred</x:v>
      </x:c>
      <x:c r="G64" s="8" t="str">
        <x:v>5</x:v>
      </x:c>
      <x:c r="H64" s="8" t="str">
        <x:v>0</x:v>
      </x:c>
      <x:c r="I64" s="8" t="str">
        <x:v>31</x:v>
      </x:c>
      <x:c r="J64" s="50" t="str">
        <x:v>66.89</x:v>
      </x:c>
      <x:c r="K64" s="8" t="str">
        <x:v>0</x:v>
      </x:c>
      <x:c r="L64" s="9" t="str">
        <x:v>5</x:v>
      </x:c>
    </x:row>
    <x:row r="65">
      <x:c r="A65" s="7" t="str">
        <x:v>MF-0064</x:v>
      </x:c>
      <x:c r="B65" s="8" t="str">
        <x:v>C-008</x:v>
      </x:c>
      <x:c r="C65" s="46" t="str">
        <x:v>2026-08-08</x:v>
      </x:c>
      <x:c r="D65" s="8" t="str">
        <x:v>Richmond</x:v>
      </x:c>
      <x:c r="E65" s="8" t="str">
        <x:v>Bakery</x:v>
      </x:c>
      <x:c r="F65" s="8" t="str">
        <x:v>Standard</x:v>
      </x:c>
      <x:c r="G65" s="8" t="str">
        <x:v>21</x:v>
      </x:c>
      <x:c r="H65" s="8" t="str">
        <x:v>0</x:v>
      </x:c>
      <x:c r="I65" s="8" t="str">
        <x:v>39</x:v>
      </x:c>
      <x:c r="J65" s="50" t="str">
        <x:v>156.98</x:v>
      </x:c>
      <x:c r="K65" s="8" t="str">
        <x:v>0</x:v>
      </x:c>
      <x:c r="L65" s="9" t="str">
        <x:v>5</x:v>
      </x:c>
    </x:row>
    <x:row r="66">
      <x:c r="A66" s="7" t="str">
        <x:v>MF-0065</x:v>
      </x:c>
      <x:c r="B66" s="8" t="str">
        <x:v>C-025</x:v>
      </x:c>
      <x:c r="C66" s="46" t="str">
        <x:v>2026-08-09</x:v>
      </x:c>
      <x:c r="D66" s="8" t="str">
        <x:v>Newark</x:v>
      </x:c>
      <x:c r="E66" s="8" t="str">
        <x:v>Prepared Foods</x:v>
      </x:c>
      <x:c r="F66" s="8" t="str">
        <x:v>Strategic</x:v>
      </x:c>
      <x:c r="G66" s="8" t="str">
        <x:v>27</x:v>
      </x:c>
      <x:c r="H66" s="8" t="str">
        <x:v>0</x:v>
      </x:c>
      <x:c r="I66" s="8" t="str">
        <x:v>63</x:v>
      </x:c>
      <x:c r="J66" s="50" t="str">
        <x:v>230.99</x:v>
      </x:c>
      <x:c r="K66" s="8" t="str">
        <x:v>0</x:v>
      </x:c>
      <x:c r="L66" s="9" t="str">
        <x:v>4</x:v>
      </x:c>
    </x:row>
    <x:row r="67">
      <x:c r="A67" s="7" t="str">
        <x:v>MF-0066</x:v>
      </x:c>
      <x:c r="B67" s="8" t="str">
        <x:v>C-042</x:v>
      </x:c>
      <x:c r="C67" s="46" t="str">
        <x:v>2026-08-10</x:v>
      </x:c>
      <x:c r="D67" s="8" t="str">
        <x:v>Philadelphia</x:v>
      </x:c>
      <x:c r="E67" s="8" t="str">
        <x:v>Produce</x:v>
      </x:c>
      <x:c r="F67" s="8" t="str">
        <x:v>Preferred</x:v>
      </x:c>
      <x:c r="G67" s="8" t="str">
        <x:v>8</x:v>
      </x:c>
      <x:c r="H67" s="8" t="str">
        <x:v>0</x:v>
      </x:c>
      <x:c r="I67" s="8" t="str">
        <x:v>44</x:v>
      </x:c>
      <x:c r="J67" s="50" t="str">
        <x:v>82.47</x:v>
      </x:c>
      <x:c r="K67" s="8" t="str">
        <x:v>0</x:v>
      </x:c>
      <x:c r="L67" s="9" t="str">
        <x:v>5</x:v>
      </x:c>
    </x:row>
    <x:row r="68">
      <x:c r="A68" s="7" t="str">
        <x:v>MF-0067</x:v>
      </x:c>
      <x:c r="B68" s="8" t="str">
        <x:v>C-059</x:v>
      </x:c>
      <x:c r="C68" s="46" t="str">
        <x:v>2026-08-11</x:v>
      </x:c>
      <x:c r="D68" s="8" t="str">
        <x:v>Baltimore</x:v>
      </x:c>
      <x:c r="E68" s="8" t="str">
        <x:v>Seafood</x:v>
      </x:c>
      <x:c r="F68" s="8" t="str">
        <x:v>Standard</x:v>
      </x:c>
      <x:c r="G68" s="8" t="str">
        <x:v>10</x:v>
      </x:c>
      <x:c r="H68" s="8" t="str">
        <x:v>0</x:v>
      </x:c>
      <x:c r="I68" s="8" t="str">
        <x:v>30</x:v>
      </x:c>
      <x:c r="J68" s="50" t="str">
        <x:v>92.53</x:v>
      </x:c>
      <x:c r="K68" s="8" t="str">
        <x:v>0</x:v>
      </x:c>
      <x:c r="L68" s="9" t="str">
        <x:v>5</x:v>
      </x:c>
    </x:row>
    <x:row r="69">
      <x:c r="A69" s="7" t="str">
        <x:v>MF-0068</x:v>
      </x:c>
      <x:c r="B69" s="8" t="str">
        <x:v>C-076</x:v>
      </x:c>
      <x:c r="C69" s="46" t="str">
        <x:v>2026-08-12</x:v>
      </x:c>
      <x:c r="D69" s="8" t="str">
        <x:v>Richmond</x:v>
      </x:c>
      <x:c r="E69" s="8" t="str">
        <x:v>Dairy</x:v>
      </x:c>
      <x:c r="F69" s="8" t="str">
        <x:v>Strategic</x:v>
      </x:c>
      <x:c r="G69" s="8" t="str">
        <x:v>26</x:v>
      </x:c>
      <x:c r="H69" s="8" t="str">
        <x:v>0</x:v>
      </x:c>
      <x:c r="I69" s="8" t="str">
        <x:v>31</x:v>
      </x:c>
      <x:c r="J69" s="50" t="str">
        <x:v>215.56</x:v>
      </x:c>
      <x:c r="K69" s="8" t="str">
        <x:v>0</x:v>
      </x:c>
      <x:c r="L69" s="9" t="str">
        <x:v>5</x:v>
      </x:c>
    </x:row>
    <x:row r="70">
      <x:c r="A70" s="7" t="str">
        <x:v>MF-0069</x:v>
      </x:c>
      <x:c r="B70" s="8" t="str">
        <x:v>C-017</x:v>
      </x:c>
      <x:c r="C70" s="46" t="str">
        <x:v>2026-08-13</x:v>
      </x:c>
      <x:c r="D70" s="8" t="str">
        <x:v>Newark</x:v>
      </x:c>
      <x:c r="E70" s="8" t="str">
        <x:v>Bakery</x:v>
      </x:c>
      <x:c r="F70" s="8" t="str">
        <x:v>Preferred</x:v>
      </x:c>
      <x:c r="G70" s="8" t="str">
        <x:v>27</x:v>
      </x:c>
      <x:c r="H70" s="8" t="str">
        <x:v>0</x:v>
      </x:c>
      <x:c r="I70" s="8" t="str">
        <x:v>37</x:v>
      </x:c>
      <x:c r="J70" s="50" t="str">
        <x:v>189.85</x:v>
      </x:c>
      <x:c r="K70" s="8" t="str">
        <x:v>0</x:v>
      </x:c>
      <x:c r="L70" s="9" t="str">
        <x:v>5</x:v>
      </x:c>
    </x:row>
    <x:row r="71">
      <x:c r="A71" s="7" t="str">
        <x:v>MF-0070</x:v>
      </x:c>
      <x:c r="B71" s="8" t="str">
        <x:v>C-034</x:v>
      </x:c>
      <x:c r="C71" s="46" t="str">
        <x:v>2026-08-14</x:v>
      </x:c>
      <x:c r="D71" s="8" t="str">
        <x:v>Philadelphia</x:v>
      </x:c>
      <x:c r="E71" s="8" t="str">
        <x:v>Prepared Foods</x:v>
      </x:c>
      <x:c r="F71" s="8" t="str">
        <x:v>Standard</x:v>
      </x:c>
      <x:c r="G71" s="8" t="str">
        <x:v>15</x:v>
      </x:c>
      <x:c r="H71" s="8" t="str">
        <x:v>0</x:v>
      </x:c>
      <x:c r="I71" s="8" t="str">
        <x:v>44</x:v>
      </x:c>
      <x:c r="J71" s="50" t="str">
        <x:v>114.46</x:v>
      </x:c>
      <x:c r="K71" s="8" t="str">
        <x:v>0</x:v>
      </x:c>
      <x:c r="L71" s="9" t="str">
        <x:v>5</x:v>
      </x:c>
    </x:row>
    <x:row r="72">
      <x:c r="A72" s="7" t="str">
        <x:v>MF-0071</x:v>
      </x:c>
      <x:c r="B72" s="8" t="str">
        <x:v>C-051</x:v>
      </x:c>
      <x:c r="C72" s="46" t="str">
        <x:v>2026-08-15</x:v>
      </x:c>
      <x:c r="D72" s="8" t="str">
        <x:v>Baltimore</x:v>
      </x:c>
      <x:c r="E72" s="8" t="str">
        <x:v>Produce</x:v>
      </x:c>
      <x:c r="F72" s="8" t="str">
        <x:v>Strategic</x:v>
      </x:c>
      <x:c r="G72" s="8" t="str">
        <x:v>13</x:v>
      </x:c>
      <x:c r="H72" s="8" t="str">
        <x:v>0</x:v>
      </x:c>
      <x:c r="I72" s="8" t="str">
        <x:v>55</x:v>
      </x:c>
      <x:c r="J72" s="50" t="str">
        <x:v>101.93</x:v>
      </x:c>
      <x:c r="K72" s="8" t="str">
        <x:v>0</x:v>
      </x:c>
      <x:c r="L72" s="9" t="str">
        <x:v>5</x:v>
      </x:c>
    </x:row>
    <x:row r="73">
      <x:c r="A73" s="7" t="str">
        <x:v>MF-0072</x:v>
      </x:c>
      <x:c r="B73" s="8" t="str">
        <x:v>C-068</x:v>
      </x:c>
      <x:c r="C73" s="46" t="str">
        <x:v>2026-08-16</x:v>
      </x:c>
      <x:c r="D73" s="8" t="str">
        <x:v>Richmond</x:v>
      </x:c>
      <x:c r="E73" s="8" t="str">
        <x:v>Seafood</x:v>
      </x:c>
      <x:c r="F73" s="8" t="str">
        <x:v>Preferred</x:v>
      </x:c>
      <x:c r="G73" s="8" t="str">
        <x:v>11</x:v>
      </x:c>
      <x:c r="H73" s="8" t="str">
        <x:v>2</x:v>
      </x:c>
      <x:c r="I73" s="8" t="str">
        <x:v>34</x:v>
      </x:c>
      <x:c r="J73" s="50" t="str">
        <x:v>101.67</x:v>
      </x:c>
      <x:c r="K73" s="8" t="str">
        <x:v>0</x:v>
      </x:c>
      <x:c r="L73" s="9" t="str">
        <x:v>4</x:v>
      </x:c>
    </x:row>
    <x:row r="74">
      <x:c r="A74" s="7" t="str">
        <x:v>MF-0073</x:v>
      </x:c>
      <x:c r="B74" s="8" t="str">
        <x:v>C-009</x:v>
      </x:c>
      <x:c r="C74" s="46" t="str">
        <x:v>2026-08-17</x:v>
      </x:c>
      <x:c r="D74" s="8" t="str">
        <x:v>Newark</x:v>
      </x:c>
      <x:c r="E74" s="8" t="str">
        <x:v>Dairy</x:v>
      </x:c>
      <x:c r="F74" s="8" t="str">
        <x:v>Standard</x:v>
      </x:c>
      <x:c r="G74" s="8" t="str">
        <x:v>13</x:v>
      </x:c>
      <x:c r="H74" s="8" t="str">
        <x:v>1</x:v>
      </x:c>
      <x:c r="I74" s="8" t="str">
        <x:v>46</x:v>
      </x:c>
      <x:c r="J74" s="50" t="str">
        <x:v>121.3</x:v>
      </x:c>
      <x:c r="K74" s="8" t="str">
        <x:v>3</x:v>
      </x:c>
      <x:c r="L74" s="9" t="str">
        <x:v>3</x:v>
      </x:c>
    </x:row>
    <x:row r="75">
      <x:c r="A75" s="7" t="str">
        <x:v>MF-0074</x:v>
      </x:c>
      <x:c r="B75" s="8" t="str">
        <x:v>C-026</x:v>
      </x:c>
      <x:c r="C75" s="46" t="str">
        <x:v>2026-08-18</x:v>
      </x:c>
      <x:c r="D75" s="8" t="str">
        <x:v>Philadelphia</x:v>
      </x:c>
      <x:c r="E75" s="8" t="str">
        <x:v>Bakery</x:v>
      </x:c>
      <x:c r="F75" s="8" t="str">
        <x:v>Strategic</x:v>
      </x:c>
      <x:c r="G75" s="8" t="str">
        <x:v>23</x:v>
      </x:c>
      <x:c r="H75" s="8" t="str">
        <x:v>0</x:v>
      </x:c>
      <x:c r="I75" s="8" t="str">
        <x:v>142</x:v>
      </x:c>
      <x:c r="J75" s="50" t="str">
        <x:v>159.28</x:v>
      </x:c>
      <x:c r="K75" s="8" t="str">
        <x:v>0</x:v>
      </x:c>
      <x:c r="L75" s="9" t="str">
        <x:v>4</x:v>
      </x:c>
    </x:row>
    <x:row r="76">
      <x:c r="A76" s="7" t="str">
        <x:v>MF-0075</x:v>
      </x:c>
      <x:c r="B76" s="8" t="str">
        <x:v>C-043</x:v>
      </x:c>
      <x:c r="C76" s="46" t="str">
        <x:v>2026-08-19</x:v>
      </x:c>
      <x:c r="D76" s="8" t="str">
        <x:v>Baltimore</x:v>
      </x:c>
      <x:c r="E76" s="8" t="str">
        <x:v>Prepared Foods</x:v>
      </x:c>
      <x:c r="F76" s="8" t="str">
        <x:v>Preferred</x:v>
      </x:c>
      <x:c r="G76" s="8" t="str">
        <x:v>29</x:v>
      </x:c>
      <x:c r="H76" s="8" t="str">
        <x:v>0</x:v>
      </x:c>
      <x:c r="I76" s="8" t="str">
        <x:v>30</x:v>
      </x:c>
      <x:c r="J76" s="50" t="str">
        <x:v>199.6</x:v>
      </x:c>
      <x:c r="K76" s="8" t="str">
        <x:v>1</x:v>
      </x:c>
      <x:c r="L76" s="9" t="str">
        <x:v>5</x:v>
      </x:c>
    </x:row>
    <x:row r="77">
      <x:c r="A77" s="7" t="str">
        <x:v>MF-0076</x:v>
      </x:c>
      <x:c r="B77" s="8" t="str">
        <x:v>C-060</x:v>
      </x:c>
      <x:c r="C77" s="46" t="str">
        <x:v>2026-08-20</x:v>
      </x:c>
      <x:c r="D77" s="8" t="str">
        <x:v>Richmond</x:v>
      </x:c>
      <x:c r="E77" s="8" t="str">
        <x:v>Produce</x:v>
      </x:c>
      <x:c r="F77" s="8" t="str">
        <x:v>Standard</x:v>
      </x:c>
      <x:c r="G77" s="8" t="str">
        <x:v>20</x:v>
      </x:c>
      <x:c r="H77" s="8" t="str">
        <x:v>0</x:v>
      </x:c>
      <x:c r="I77" s="8" t="str">
        <x:v>34</x:v>
      </x:c>
      <x:c r="J77" s="50" t="str">
        <x:v>155.09</x:v>
      </x:c>
      <x:c r="K77" s="8" t="str">
        <x:v>0</x:v>
      </x:c>
      <x:c r="L77" s="9" t="str">
        <x:v>5</x:v>
      </x:c>
    </x:row>
    <x:row r="78">
      <x:c r="A78" s="7" t="str">
        <x:v>MF-0077</x:v>
      </x:c>
      <x:c r="B78" s="8" t="str">
        <x:v>C-001</x:v>
      </x:c>
      <x:c r="C78" s="46" t="str">
        <x:v>2026-08-21</x:v>
      </x:c>
      <x:c r="D78" s="8" t="str">
        <x:v>Newark</x:v>
      </x:c>
      <x:c r="E78" s="8" t="str">
        <x:v>Seafood</x:v>
      </x:c>
      <x:c r="F78" s="8" t="str">
        <x:v>Strategic</x:v>
      </x:c>
      <x:c r="G78" s="8" t="str">
        <x:v>15</x:v>
      </x:c>
      <x:c r="H78" s="8" t="str">
        <x:v>0</x:v>
      </x:c>
      <x:c r="I78" s="8" t="str">
        <x:v>37</x:v>
      </x:c>
      <x:c r="J78" s="50" t="str">
        <x:v>127.07</x:v>
      </x:c>
      <x:c r="K78" s="8" t="str">
        <x:v>2</x:v>
      </x:c>
      <x:c r="L78" s="9" t="str">
        <x:v>5</x:v>
      </x:c>
    </x:row>
    <x:row r="79">
      <x:c r="A79" s="7" t="str">
        <x:v>MF-0078</x:v>
      </x:c>
      <x:c r="B79" s="8" t="str">
        <x:v>C-018</x:v>
      </x:c>
      <x:c r="C79" s="46" t="str">
        <x:v>2026-08-22</x:v>
      </x:c>
      <x:c r="D79" s="8" t="str">
        <x:v>Philadelphia</x:v>
      </x:c>
      <x:c r="E79" s="8" t="str">
        <x:v>Dairy</x:v>
      </x:c>
      <x:c r="F79" s="8" t="str">
        <x:v>Preferred</x:v>
      </x:c>
      <x:c r="G79" s="8" t="str">
        <x:v>21</x:v>
      </x:c>
      <x:c r="H79" s="8" t="str">
        <x:v>0</x:v>
      </x:c>
      <x:c r="I79" s="8" t="str">
        <x:v>38</x:v>
      </x:c>
      <x:c r="J79" s="50" t="str">
        <x:v>150.01</x:v>
      </x:c>
      <x:c r="K79" s="8" t="str">
        <x:v>4</x:v>
      </x:c>
      <x:c r="L79" s="9" t="str">
        <x:v>4</x:v>
      </x:c>
    </x:row>
    <x:row r="80">
      <x:c r="A80" s="7" t="str">
        <x:v>MF-0079</x:v>
      </x:c>
      <x:c r="B80" s="8" t="str">
        <x:v>C-035</x:v>
      </x:c>
      <x:c r="C80" s="46" t="str">
        <x:v>2026-08-23</x:v>
      </x:c>
      <x:c r="D80" s="8" t="str">
        <x:v>Baltimore</x:v>
      </x:c>
      <x:c r="E80" s="8" t="str">
        <x:v>Bakery</x:v>
      </x:c>
      <x:c r="F80" s="8" t="str">
        <x:v>Standard</x:v>
      </x:c>
      <x:c r="G80" s="8" t="str">
        <x:v>17</x:v>
      </x:c>
      <x:c r="H80" s="8" t="str">
        <x:v>0</x:v>
      </x:c>
      <x:c r="I80" s="8" t="str">
        <x:v>26</x:v>
      </x:c>
      <x:c r="J80" s="50" t="str">
        <x:v>114.22</x:v>
      </x:c>
      <x:c r="K80" s="8" t="str">
        <x:v>2</x:v>
      </x:c>
      <x:c r="L80" s="9" t="str">
        <x:v>4</x:v>
      </x:c>
    </x:row>
    <x:row r="81">
      <x:c r="A81" s="7" t="str">
        <x:v>MF-0080</x:v>
      </x:c>
      <x:c r="B81" s="8" t="str">
        <x:v>C-052</x:v>
      </x:c>
      <x:c r="C81" s="46" t="str">
        <x:v>2026-08-24</x:v>
      </x:c>
      <x:c r="D81" s="8" t="str">
        <x:v>Richmond</x:v>
      </x:c>
      <x:c r="E81" s="8" t="str">
        <x:v>Prepared Foods</x:v>
      </x:c>
      <x:c r="F81" s="8" t="str">
        <x:v>Strategic</x:v>
      </x:c>
      <x:c r="G81" s="8" t="str">
        <x:v>20</x:v>
      </x:c>
      <x:c r="H81" s="8" t="str">
        <x:v>0</x:v>
      </x:c>
      <x:c r="I81" s="8" t="str">
        <x:v>42</x:v>
      </x:c>
      <x:c r="J81" s="50" t="str">
        <x:v>141.41</x:v>
      </x:c>
      <x:c r="K81" s="8" t="str">
        <x:v>0</x:v>
      </x:c>
      <x:c r="L81" s="9" t="str">
        <x:v>5</x:v>
      </x:c>
    </x:row>
    <x:row r="82">
      <x:c r="A82" s="7" t="str">
        <x:v>MF-0081</x:v>
      </x:c>
      <x:c r="B82" s="8" t="str">
        <x:v>C-069</x:v>
      </x:c>
      <x:c r="C82" s="46" t="str">
        <x:v>2026-08-25</x:v>
      </x:c>
      <x:c r="D82" s="8" t="str">
        <x:v>Newark</x:v>
      </x:c>
      <x:c r="E82" s="8" t="str">
        <x:v>Produce</x:v>
      </x:c>
      <x:c r="F82" s="8" t="str">
        <x:v>Preferred</x:v>
      </x:c>
      <x:c r="G82" s="8" t="str">
        <x:v>17</x:v>
      </x:c>
      <x:c r="H82" s="8" t="str">
        <x:v>0</x:v>
      </x:c>
      <x:c r="I82" s="8" t="str">
        <x:v>45</x:v>
      </x:c>
      <x:c r="J82" s="50" t="str">
        <x:v>131.59</x:v>
      </x:c>
      <x:c r="K82" s="8" t="str">
        <x:v>0</x:v>
      </x:c>
      <x:c r="L82" s="9" t="str">
        <x:v>5</x:v>
      </x:c>
    </x:row>
    <x:row r="83">
      <x:c r="A83" s="7" t="str">
        <x:v>MF-0082</x:v>
      </x:c>
      <x:c r="B83" s="8" t="str">
        <x:v>C-010</x:v>
      </x:c>
      <x:c r="C83" s="46" t="str">
        <x:v>2026-08-26</x:v>
      </x:c>
      <x:c r="D83" s="8" t="str">
        <x:v>Philadelphia</x:v>
      </x:c>
      <x:c r="E83" s="8" t="str">
        <x:v>Seafood</x:v>
      </x:c>
      <x:c r="F83" s="8" t="str">
        <x:v>Standard</x:v>
      </x:c>
      <x:c r="G83" s="8" t="str">
        <x:v>11</x:v>
      </x:c>
      <x:c r="H83" s="8" t="str">
        <x:v>3</x:v>
      </x:c>
      <x:c r="I83" s="8" t="str">
        <x:v>50</x:v>
      </x:c>
      <x:c r="J83" s="50" t="str">
        <x:v>118.87</x:v>
      </x:c>
      <x:c r="K83" s="8" t="str">
        <x:v>0</x:v>
      </x:c>
      <x:c r="L83" s="9" t="str">
        <x:v>3</x:v>
      </x:c>
    </x:row>
    <x:row r="84">
      <x:c r="A84" s="7" t="str">
        <x:v>MF-0083</x:v>
      </x:c>
      <x:c r="B84" s="8" t="str">
        <x:v>C-027</x:v>
      </x:c>
      <x:c r="C84" s="46" t="str">
        <x:v>2026-08-27</x:v>
      </x:c>
      <x:c r="D84" s="8" t="str">
        <x:v>Baltimore</x:v>
      </x:c>
      <x:c r="E84" s="8" t="str">
        <x:v>Dairy</x:v>
      </x:c>
      <x:c r="F84" s="8" t="str">
        <x:v>Strategic</x:v>
      </x:c>
      <x:c r="G84" s="8" t="str">
        <x:v>7</x:v>
      </x:c>
      <x:c r="H84" s="8" t="str">
        <x:v>1</x:v>
      </x:c>
      <x:c r="I84" s="8" t="str">
        <x:v>31</x:v>
      </x:c>
      <x:c r="J84" s="50" t="str">
        <x:v>80.83</x:v>
      </x:c>
      <x:c r="K84" s="8" t="str">
        <x:v>0</x:v>
      </x:c>
      <x:c r="L84" s="9" t="str">
        <x:v>4</x:v>
      </x:c>
    </x:row>
    <x:row r="85">
      <x:c r="A85" s="7" t="str">
        <x:v>MF-0084</x:v>
      </x:c>
      <x:c r="B85" s="8" t="str">
        <x:v>C-044</x:v>
      </x:c>
      <x:c r="C85" s="46" t="str">
        <x:v>2026-08-28</x:v>
      </x:c>
      <x:c r="D85" s="8" t="str">
        <x:v>Richmond</x:v>
      </x:c>
      <x:c r="E85" s="8" t="str">
        <x:v>Bakery</x:v>
      </x:c>
      <x:c r="F85" s="8" t="str">
        <x:v>Preferred</x:v>
      </x:c>
      <x:c r="G85" s="8" t="str">
        <x:v>20</x:v>
      </x:c>
      <x:c r="H85" s="8" t="str">
        <x:v>0</x:v>
      </x:c>
      <x:c r="I85" s="8" t="str">
        <x:v>58</x:v>
      </x:c>
      <x:c r="J85" s="50" t="str">
        <x:v>160.43</x:v>
      </x:c>
      <x:c r="K85" s="8" t="str">
        <x:v>0</x:v>
      </x:c>
      <x:c r="L85" s="9" t="str">
        <x:v>5</x:v>
      </x:c>
    </x:row>
    <x:row r="86">
      <x:c r="A86" s="7" t="str">
        <x:v>MF-0085</x:v>
      </x:c>
      <x:c r="B86" s="8" t="str">
        <x:v>C-061</x:v>
      </x:c>
      <x:c r="C86" s="46" t="str">
        <x:v>2026-08-01</x:v>
      </x:c>
      <x:c r="D86" s="8" t="str">
        <x:v>Newark</x:v>
      </x:c>
      <x:c r="E86" s="8" t="str">
        <x:v>Prepared Foods</x:v>
      </x:c>
      <x:c r="F86" s="8" t="str">
        <x:v>Standard</x:v>
      </x:c>
      <x:c r="G86" s="8" t="str">
        <x:v>22</x:v>
      </x:c>
      <x:c r="H86" s="8" t="str">
        <x:v>0</x:v>
      </x:c>
      <x:c r="I86" s="8" t="str">
        <x:v>48</x:v>
      </x:c>
      <x:c r="J86" s="50" t="str">
        <x:v>216.53</x:v>
      </x:c>
      <x:c r="K86" s="8" t="str">
        <x:v>0</x:v>
      </x:c>
      <x:c r="L86" s="9" t="str">
        <x:v>5</x:v>
      </x:c>
    </x:row>
    <x:row r="87">
      <x:c r="A87" s="7" t="str">
        <x:v>MF-0086</x:v>
      </x:c>
      <x:c r="B87" s="8" t="str">
        <x:v>C-002</x:v>
      </x:c>
      <x:c r="C87" s="46" t="str">
        <x:v>2026-08-02</x:v>
      </x:c>
      <x:c r="D87" s="8" t="str">
        <x:v>Philadelphia</x:v>
      </x:c>
      <x:c r="E87" s="8" t="str">
        <x:v>Produce</x:v>
      </x:c>
      <x:c r="F87" s="8" t="str">
        <x:v>Strategic</x:v>
      </x:c>
      <x:c r="G87" s="8" t="str">
        <x:v>20</x:v>
      </x:c>
      <x:c r="H87" s="8" t="str">
        <x:v>0</x:v>
      </x:c>
      <x:c r="I87" s="8" t="str">
        <x:v>44</x:v>
      </x:c>
      <x:c r="J87" s="50" t="str">
        <x:v>156.17</x:v>
      </x:c>
      <x:c r="K87" s="8" t="str">
        <x:v>0</x:v>
      </x:c>
      <x:c r="L87" s="9" t="str">
        <x:v>5</x:v>
      </x:c>
    </x:row>
    <x:row r="88">
      <x:c r="A88" s="7" t="str">
        <x:v>MF-0087</x:v>
      </x:c>
      <x:c r="B88" s="8" t="str">
        <x:v>C-019</x:v>
      </x:c>
      <x:c r="C88" s="46" t="str">
        <x:v>2026-08-03</x:v>
      </x:c>
      <x:c r="D88" s="8" t="str">
        <x:v>Baltimore</x:v>
      </x:c>
      <x:c r="E88" s="8" t="str">
        <x:v>Seafood</x:v>
      </x:c>
      <x:c r="F88" s="8" t="str">
        <x:v>Preferred</x:v>
      </x:c>
      <x:c r="G88" s="8" t="str">
        <x:v>20</x:v>
      </x:c>
      <x:c r="H88" s="8" t="str">
        <x:v>0</x:v>
      </x:c>
      <x:c r="I88" s="8" t="str">
        <x:v>31</x:v>
      </x:c>
      <x:c r="J88" s="50" t="str">
        <x:v>173.49</x:v>
      </x:c>
      <x:c r="K88" s="8" t="str">
        <x:v>0</x:v>
      </x:c>
      <x:c r="L88" s="9" t="str">
        <x:v>5</x:v>
      </x:c>
    </x:row>
    <x:row r="89">
      <x:c r="A89" s="7" t="str">
        <x:v>MF-0088</x:v>
      </x:c>
      <x:c r="B89" s="8" t="str">
        <x:v>C-036</x:v>
      </x:c>
      <x:c r="C89" s="46" t="str">
        <x:v>2026-08-04</x:v>
      </x:c>
      <x:c r="D89" s="8" t="str">
        <x:v>Richmond</x:v>
      </x:c>
      <x:c r="E89" s="8" t="str">
        <x:v>Dairy</x:v>
      </x:c>
      <x:c r="F89" s="8" t="str">
        <x:v>Standard</x:v>
      </x:c>
      <x:c r="G89" s="8" t="str">
        <x:v>24</x:v>
      </x:c>
      <x:c r="H89" s="8" t="str">
        <x:v>0</x:v>
      </x:c>
      <x:c r="I89" s="8" t="str">
        <x:v>24</x:v>
      </x:c>
      <x:c r="J89" s="50" t="str">
        <x:v>234.9</x:v>
      </x:c>
      <x:c r="K89" s="8" t="str">
        <x:v>0</x:v>
      </x:c>
      <x:c r="L89" s="9" t="str">
        <x:v>5</x:v>
      </x:c>
    </x:row>
    <x:row r="90">
      <x:c r="A90" s="7" t="str">
        <x:v>MF-0089</x:v>
      </x:c>
      <x:c r="B90" s="8" t="str">
        <x:v>C-053</x:v>
      </x:c>
      <x:c r="C90" s="46" t="str">
        <x:v>2026-08-05</x:v>
      </x:c>
      <x:c r="D90" s="8" t="str">
        <x:v>Newark</x:v>
      </x:c>
      <x:c r="E90" s="8" t="str">
        <x:v>Bakery</x:v>
      </x:c>
      <x:c r="F90" s="8" t="str">
        <x:v>Strategic</x:v>
      </x:c>
      <x:c r="G90" s="8" t="str">
        <x:v>5</x:v>
      </x:c>
      <x:c r="H90" s="8" t="str">
        <x:v>2</x:v>
      </x:c>
      <x:c r="I90" s="8" t="str">
        <x:v>38</x:v>
      </x:c>
      <x:c r="J90" s="50" t="str">
        <x:v>62.7</x:v>
      </x:c>
      <x:c r="K90" s="8" t="str">
        <x:v>0</x:v>
      </x:c>
      <x:c r="L90" s="9" t="str">
        <x:v>4</x:v>
      </x:c>
    </x:row>
    <x:row r="91">
      <x:c r="A91" s="7" t="str">
        <x:v>MF-0090</x:v>
      </x:c>
      <x:c r="B91" s="8" t="str">
        <x:v>C-070</x:v>
      </x:c>
      <x:c r="C91" s="46" t="str">
        <x:v>2026-08-06</x:v>
      </x:c>
      <x:c r="D91" s="8" t="str">
        <x:v>Philadelphia</x:v>
      </x:c>
      <x:c r="E91" s="8" t="str">
        <x:v>Prepared Foods</x:v>
      </x:c>
      <x:c r="F91" s="8" t="str">
        <x:v>Preferred</x:v>
      </x:c>
      <x:c r="G91" s="8" t="str">
        <x:v>24</x:v>
      </x:c>
      <x:c r="H91" s="8" t="str">
        <x:v>0</x:v>
      </x:c>
      <x:c r="I91" s="8" t="str">
        <x:v>43</x:v>
      </x:c>
      <x:c r="J91" s="50" t="str">
        <x:v>184.47</x:v>
      </x:c>
      <x:c r="K91" s="8" t="str">
        <x:v>0</x:v>
      </x:c>
      <x:c r="L91" s="9" t="str">
        <x:v>5</x:v>
      </x:c>
    </x:row>
    <x:row r="92">
      <x:c r="A92" s="7" t="str">
        <x:v>MF-0091</x:v>
      </x:c>
      <x:c r="B92" s="8" t="str">
        <x:v>C-011</x:v>
      </x:c>
      <x:c r="C92" s="46" t="str">
        <x:v>2026-08-07</x:v>
      </x:c>
      <x:c r="D92" s="8" t="str">
        <x:v>Baltimore</x:v>
      </x:c>
      <x:c r="E92" s="8" t="str">
        <x:v>Produce</x:v>
      </x:c>
      <x:c r="F92" s="8" t="str">
        <x:v>Standard</x:v>
      </x:c>
      <x:c r="G92" s="8" t="str">
        <x:v>11</x:v>
      </x:c>
      <x:c r="H92" s="8" t="str">
        <x:v>0</x:v>
      </x:c>
      <x:c r="I92" s="8" t="str">
        <x:v>40</x:v>
      </x:c>
      <x:c r="J92" s="50" t="str">
        <x:v>89.6</x:v>
      </x:c>
      <x:c r="K92" s="8" t="str">
        <x:v>0</x:v>
      </x:c>
      <x:c r="L92" s="9" t="str">
        <x:v>5</x:v>
      </x:c>
    </x:row>
    <x:row r="93">
      <x:c r="A93" s="7" t="str">
        <x:v>MF-0092</x:v>
      </x:c>
      <x:c r="B93" s="8" t="str">
        <x:v>C-028</x:v>
      </x:c>
      <x:c r="C93" s="46" t="str">
        <x:v>2026-08-08</x:v>
      </x:c>
      <x:c r="D93" s="8" t="str">
        <x:v>Richmond</x:v>
      </x:c>
      <x:c r="E93" s="8" t="str">
        <x:v>Seafood</x:v>
      </x:c>
      <x:c r="F93" s="8" t="str">
        <x:v>Strategic</x:v>
      </x:c>
      <x:c r="G93" s="8" t="str">
        <x:v>16</x:v>
      </x:c>
      <x:c r="H93" s="8" t="str">
        <x:v>0</x:v>
      </x:c>
      <x:c r="I93" s="8" t="str"/>
      <x:c r="J93" s="50" t="str">
        <x:v>122.05</x:v>
      </x:c>
      <x:c r="K93" s="8" t="str">
        <x:v>0</x:v>
      </x:c>
      <x:c r="L93" s="9" t="str">
        <x:v>5</x:v>
      </x:c>
    </x:row>
    <x:row r="94">
      <x:c r="A94" s="7" t="str">
        <x:v>MF-0093</x:v>
      </x:c>
      <x:c r="B94" s="8" t="str">
        <x:v>C-045</x:v>
      </x:c>
      <x:c r="C94" s="46" t="str">
        <x:v>2026-08-09</x:v>
      </x:c>
      <x:c r="D94" s="8" t="str">
        <x:v>Newark</x:v>
      </x:c>
      <x:c r="E94" s="8" t="str">
        <x:v>Dairy</x:v>
      </x:c>
      <x:c r="F94" s="8" t="str">
        <x:v>Preferred</x:v>
      </x:c>
      <x:c r="G94" s="8" t="str">
        <x:v>15</x:v>
      </x:c>
      <x:c r="H94" s="8" t="str">
        <x:v>0</x:v>
      </x:c>
      <x:c r="I94" s="8" t="str">
        <x:v>25</x:v>
      </x:c>
      <x:c r="J94" s="50" t="str">
        <x:v>144.28</x:v>
      </x:c>
      <x:c r="K94" s="8" t="str">
        <x:v>0</x:v>
      </x:c>
      <x:c r="L94" s="9" t="str">
        <x:v>5</x:v>
      </x:c>
    </x:row>
    <x:row r="95">
      <x:c r="A95" s="7" t="str">
        <x:v>MF-0094</x:v>
      </x:c>
      <x:c r="B95" s="8" t="str">
        <x:v>C-062</x:v>
      </x:c>
      <x:c r="C95" s="46" t="str">
        <x:v>2026-08-10</x:v>
      </x:c>
      <x:c r="D95" s="8" t="str">
        <x:v>Philadelphia</x:v>
      </x:c>
      <x:c r="E95" s="8" t="str">
        <x:v>Bakery</x:v>
      </x:c>
      <x:c r="F95" s="8" t="str">
        <x:v>Standard</x:v>
      </x:c>
      <x:c r="G95" s="8" t="str">
        <x:v>20</x:v>
      </x:c>
      <x:c r="H95" s="8" t="str">
        <x:v>0</x:v>
      </x:c>
      <x:c r="I95" s="8" t="str">
        <x:v>25</x:v>
      </x:c>
      <x:c r="J95" s="50" t="str">
        <x:v>143.03</x:v>
      </x:c>
      <x:c r="K95" s="8" t="str">
        <x:v>0</x:v>
      </x:c>
      <x:c r="L95" s="9" t="str">
        <x:v>5</x:v>
      </x:c>
    </x:row>
    <x:row r="96">
      <x:c r="A96" s="7" t="str">
        <x:v>MF-0095</x:v>
      </x:c>
      <x:c r="B96" s="8" t="str">
        <x:v>C-003</x:v>
      </x:c>
      <x:c r="C96" s="46" t="str">
        <x:v>2026-08-11</x:v>
      </x:c>
      <x:c r="D96" s="8" t="str">
        <x:v>Baltimore</x:v>
      </x:c>
      <x:c r="E96" s="8" t="str">
        <x:v>Prepared Foods</x:v>
      </x:c>
      <x:c r="F96" s="8" t="str">
        <x:v>Strategic</x:v>
      </x:c>
      <x:c r="G96" s="8" t="str">
        <x:v>14</x:v>
      </x:c>
      <x:c r="H96" s="8" t="str">
        <x:v>0</x:v>
      </x:c>
      <x:c r="I96" s="8" t="str">
        <x:v>43</x:v>
      </x:c>
      <x:c r="J96" s="50" t="str">
        <x:v>106.48</x:v>
      </x:c>
      <x:c r="K96" s="8" t="str">
        <x:v>1</x:v>
      </x:c>
      <x:c r="L96" s="9" t="str">
        <x:v>5</x:v>
      </x:c>
    </x:row>
    <x:row r="97">
      <x:c r="A97" s="7" t="str">
        <x:v>MF-0096</x:v>
      </x:c>
      <x:c r="B97" s="8" t="str">
        <x:v>C-020</x:v>
      </x:c>
      <x:c r="C97" s="46" t="str">
        <x:v>2026-08-12</x:v>
      </x:c>
      <x:c r="D97" s="8" t="str">
        <x:v>Richmond</x:v>
      </x:c>
      <x:c r="E97" s="8" t="str">
        <x:v>Produce</x:v>
      </x:c>
      <x:c r="F97" s="8" t="str">
        <x:v>Preferred</x:v>
      </x:c>
      <x:c r="G97" s="8" t="str">
        <x:v>20</x:v>
      </x:c>
      <x:c r="H97" s="8" t="str">
        <x:v>0</x:v>
      </x:c>
      <x:c r="I97" s="8" t="str">
        <x:v>36</x:v>
      </x:c>
      <x:c r="J97" s="50" t="str">
        <x:v>182.39</x:v>
      </x:c>
      <x:c r="K97" s="8" t="str">
        <x:v>4</x:v>
      </x:c>
      <x:c r="L97" s="9" t="str">
        <x:v>4</x:v>
      </x:c>
    </x:row>
    <x:row r="98">
      <x:c r="A98" s="7" t="str">
        <x:v>MF-0097</x:v>
      </x:c>
      <x:c r="B98" s="8" t="str">
        <x:v>C-037</x:v>
      </x:c>
      <x:c r="C98" s="46" t="str">
        <x:v>2026-08-13</x:v>
      </x:c>
      <x:c r="D98" s="8" t="str">
        <x:v>Newark</x:v>
      </x:c>
      <x:c r="E98" s="8" t="str">
        <x:v>Seafood</x:v>
      </x:c>
      <x:c r="F98" s="8" t="str">
        <x:v>Standard</x:v>
      </x:c>
      <x:c r="G98" s="8" t="str">
        <x:v>24</x:v>
      </x:c>
      <x:c r="H98" s="8" t="str">
        <x:v>0</x:v>
      </x:c>
      <x:c r="I98" s="8" t="str">
        <x:v>41</x:v>
      </x:c>
      <x:c r="J98" s="50" t="str">
        <x:v>159.66</x:v>
      </x:c>
      <x:c r="K98" s="8" t="str">
        <x:v>0</x:v>
      </x:c>
      <x:c r="L98" s="9" t="str">
        <x:v>5</x:v>
      </x:c>
    </x:row>
    <x:row r="99">
      <x:c r="A99" s="7" t="str">
        <x:v>MF-0098</x:v>
      </x:c>
      <x:c r="B99" s="8" t="str">
        <x:v>C-054</x:v>
      </x:c>
      <x:c r="C99" s="46" t="str">
        <x:v>2026-08-14</x:v>
      </x:c>
      <x:c r="D99" s="8" t="str">
        <x:v>Philadelphia</x:v>
      </x:c>
      <x:c r="E99" s="8" t="str">
        <x:v>Dairy</x:v>
      </x:c>
      <x:c r="F99" s="8" t="str">
        <x:v>Strategic</x:v>
      </x:c>
      <x:c r="G99" s="8" t="str">
        <x:v>23</x:v>
      </x:c>
      <x:c r="H99" s="8" t="str">
        <x:v>0</x:v>
      </x:c>
      <x:c r="I99" s="8" t="str">
        <x:v>42</x:v>
      </x:c>
      <x:c r="J99" s="50" t="str">
        <x:v>142.1</x:v>
      </x:c>
      <x:c r="K99" s="8" t="str">
        <x:v>0</x:v>
      </x:c>
      <x:c r="L99" s="9" t="str">
        <x:v>5</x:v>
      </x:c>
    </x:row>
    <x:row r="100">
      <x:c r="A100" s="7" t="str">
        <x:v>MF-0099</x:v>
      </x:c>
      <x:c r="B100" s="8" t="str">
        <x:v>C-071</x:v>
      </x:c>
      <x:c r="C100" s="46" t="str">
        <x:v>2026-08-15</x:v>
      </x:c>
      <x:c r="D100" s="8" t="str">
        <x:v>Baltimore</x:v>
      </x:c>
      <x:c r="E100" s="8" t="str">
        <x:v>Bakery</x:v>
      </x:c>
      <x:c r="F100" s="8" t="str">
        <x:v>Preferred</x:v>
      </x:c>
      <x:c r="G100" s="8" t="str">
        <x:v>9</x:v>
      </x:c>
      <x:c r="H100" s="8" t="str">
        <x:v>0</x:v>
      </x:c>
      <x:c r="I100" s="8" t="str">
        <x:v>49</x:v>
      </x:c>
      <x:c r="J100" s="50" t="str">
        <x:v>74.8</x:v>
      </x:c>
      <x:c r="K100" s="8" t="str">
        <x:v>0</x:v>
      </x:c>
      <x:c r="L100" s="9" t="str">
        <x:v>5</x:v>
      </x:c>
    </x:row>
    <x:row r="101">
      <x:c r="A101" s="7" t="str">
        <x:v>MF-0100</x:v>
      </x:c>
      <x:c r="B101" s="8" t="str">
        <x:v>C-012</x:v>
      </x:c>
      <x:c r="C101" s="46" t="str">
        <x:v>2026-08-16</x:v>
      </x:c>
      <x:c r="D101" s="8" t="str">
        <x:v>Richmond</x:v>
      </x:c>
      <x:c r="E101" s="8" t="str">
        <x:v>Prepared Foods</x:v>
      </x:c>
      <x:c r="F101" s="8" t="str">
        <x:v>Standard</x:v>
      </x:c>
      <x:c r="G101" s="8" t="str">
        <x:v>26</x:v>
      </x:c>
      <x:c r="H101" s="8" t="str">
        <x:v>0</x:v>
      </x:c>
      <x:c r="I101" s="8" t="str">
        <x:v>55</x:v>
      </x:c>
      <x:c r="J101" s="50" t="str">
        <x:v>190.67</x:v>
      </x:c>
      <x:c r="K101" s="8" t="str">
        <x:v>1</x:v>
      </x:c>
      <x:c r="L101" s="9" t="str">
        <x:v>4</x:v>
      </x:c>
    </x:row>
    <x:row r="102">
      <x:c r="A102" s="7" t="str">
        <x:v>MF-0101</x:v>
      </x:c>
      <x:c r="B102" s="8" t="str">
        <x:v>C-029</x:v>
      </x:c>
      <x:c r="C102" s="46" t="str">
        <x:v>2026-08-17</x:v>
      </x:c>
      <x:c r="D102" s="8" t="str">
        <x:v>Newark</x:v>
      </x:c>
      <x:c r="E102" s="8" t="str">
        <x:v>Produce</x:v>
      </x:c>
      <x:c r="F102" s="8" t="str">
        <x:v>Strategic</x:v>
      </x:c>
      <x:c r="G102" s="8" t="str">
        <x:v>6</x:v>
      </x:c>
      <x:c r="H102" s="8" t="str">
        <x:v>0</x:v>
      </x:c>
      <x:c r="I102" s="8" t="str">
        <x:v>28</x:v>
      </x:c>
      <x:c r="J102" s="50" t="str">
        <x:v>53.44</x:v>
      </x:c>
      <x:c r="K102" s="8" t="str">
        <x:v>0</x:v>
      </x:c>
      <x:c r="L102" s="9" t="str">
        <x:v>5</x:v>
      </x:c>
    </x:row>
    <x:row r="103">
      <x:c r="A103" s="7" t="str">
        <x:v>MF-0102</x:v>
      </x:c>
      <x:c r="B103" s="8" t="str">
        <x:v>C-046</x:v>
      </x:c>
      <x:c r="C103" s="46" t="str">
        <x:v>2026-08-18</x:v>
      </x:c>
      <x:c r="D103" s="8" t="str">
        <x:v>Philadelphia</x:v>
      </x:c>
      <x:c r="E103" s="8" t="str">
        <x:v>Seafood</x:v>
      </x:c>
      <x:c r="F103" s="8" t="str">
        <x:v>Preferred</x:v>
      </x:c>
      <x:c r="G103" s="8" t="str">
        <x:v>6</x:v>
      </x:c>
      <x:c r="H103" s="8" t="str">
        <x:v>0</x:v>
      </x:c>
      <x:c r="I103" s="8" t="str">
        <x:v>41</x:v>
      </x:c>
      <x:c r="J103" s="50" t="str">
        <x:v>62.65</x:v>
      </x:c>
      <x:c r="K103" s="8" t="str">
        <x:v>0</x:v>
      </x:c>
      <x:c r="L103" s="9" t="str">
        <x:v>5</x:v>
      </x:c>
    </x:row>
    <x:row r="104">
      <x:c r="A104" s="7" t="str">
        <x:v>MF-0103</x:v>
      </x:c>
      <x:c r="B104" s="8" t="str">
        <x:v>C-063</x:v>
      </x:c>
      <x:c r="C104" s="46" t="str">
        <x:v>2026-08-19</x:v>
      </x:c>
      <x:c r="D104" s="8" t="str">
        <x:v>Baltimore</x:v>
      </x:c>
      <x:c r="E104" s="8" t="str">
        <x:v>Dairy</x:v>
      </x:c>
      <x:c r="F104" s="8" t="str">
        <x:v>Standard</x:v>
      </x:c>
      <x:c r="G104" s="8" t="str">
        <x:v>12</x:v>
      </x:c>
      <x:c r="H104" s="8" t="str">
        <x:v>0</x:v>
      </x:c>
      <x:c r="I104" s="8" t="str">
        <x:v>60</x:v>
      </x:c>
      <x:c r="J104" s="50" t="str">
        <x:v>103.95</x:v>
      </x:c>
      <x:c r="K104" s="8" t="str">
        <x:v>0</x:v>
      </x:c>
      <x:c r="L104" s="9" t="str">
        <x:v>5</x:v>
      </x:c>
    </x:row>
    <x:row r="105">
      <x:c r="A105" s="7" t="str">
        <x:v>MF-0104</x:v>
      </x:c>
      <x:c r="B105" s="8" t="str">
        <x:v>C-004</x:v>
      </x:c>
      <x:c r="C105" s="46" t="str">
        <x:v>2026-08-20</x:v>
      </x:c>
      <x:c r="D105" s="8" t="str">
        <x:v>Richmond</x:v>
      </x:c>
      <x:c r="E105" s="8" t="str">
        <x:v>Bakery</x:v>
      </x:c>
      <x:c r="F105" s="8" t="str">
        <x:v>Strategic</x:v>
      </x:c>
      <x:c r="G105" s="8" t="str">
        <x:v>28</x:v>
      </x:c>
      <x:c r="H105" s="8" t="str">
        <x:v>2</x:v>
      </x:c>
      <x:c r="I105" s="8" t="str">
        <x:v>50</x:v>
      </x:c>
      <x:c r="J105" s="50" t="str">
        <x:v>226.62</x:v>
      </x:c>
      <x:c r="K105" s="8" t="str">
        <x:v>0</x:v>
      </x:c>
      <x:c r="L105" s="9" t="str">
        <x:v>4</x:v>
      </x:c>
    </x:row>
    <x:row r="106">
      <x:c r="A106" s="7" t="str">
        <x:v>MF-0105</x:v>
      </x:c>
      <x:c r="B106" s="8" t="str">
        <x:v>C-021</x:v>
      </x:c>
      <x:c r="C106" s="46" t="str">
        <x:v>2026-08-21</x:v>
      </x:c>
      <x:c r="D106" s="8" t="str">
        <x:v>Newark</x:v>
      </x:c>
      <x:c r="E106" s="8" t="str">
        <x:v>Prepared Foods</x:v>
      </x:c>
      <x:c r="F106" s="8" t="str">
        <x:v>Preferred</x:v>
      </x:c>
      <x:c r="G106" s="8" t="str">
        <x:v>27</x:v>
      </x:c>
      <x:c r="H106" s="8" t="str">
        <x:v>0</x:v>
      </x:c>
      <x:c r="I106" s="8" t="str">
        <x:v>52</x:v>
      </x:c>
      <x:c r="J106" s="50" t="str">
        <x:v>163.58</x:v>
      </x:c>
      <x:c r="K106" s="8" t="str">
        <x:v>0</x:v>
      </x:c>
      <x:c r="L106" s="9" t="str">
        <x:v>5</x:v>
      </x:c>
    </x:row>
    <x:row r="107">
      <x:c r="A107" s="7" t="str">
        <x:v>MF-0106</x:v>
      </x:c>
      <x:c r="B107" s="8" t="str">
        <x:v>C-038</x:v>
      </x:c>
      <x:c r="C107" s="46" t="str">
        <x:v>2026-08-22</x:v>
      </x:c>
      <x:c r="D107" s="8" t="str">
        <x:v>Philadelphia</x:v>
      </x:c>
      <x:c r="E107" s="8" t="str">
        <x:v>Produce</x:v>
      </x:c>
      <x:c r="F107" s="8" t="str">
        <x:v>Standard</x:v>
      </x:c>
      <x:c r="G107" s="8" t="str">
        <x:v>19</x:v>
      </x:c>
      <x:c r="H107" s="8" t="str">
        <x:v>0</x:v>
      </x:c>
      <x:c r="I107" s="8" t="str">
        <x:v>27</x:v>
      </x:c>
      <x:c r="J107" s="50" t="str">
        <x:v>129.02</x:v>
      </x:c>
      <x:c r="K107" s="8" t="str">
        <x:v>0</x:v>
      </x:c>
      <x:c r="L107" s="9" t="str">
        <x:v>5</x:v>
      </x:c>
    </x:row>
    <x:row r="108">
      <x:c r="A108" s="7" t="str">
        <x:v>MF-0107</x:v>
      </x:c>
      <x:c r="B108" s="8" t="str">
        <x:v>C-055</x:v>
      </x:c>
      <x:c r="C108" s="46" t="str">
        <x:v>2026-08-23</x:v>
      </x:c>
      <x:c r="D108" s="8" t="str">
        <x:v>Baltimore</x:v>
      </x:c>
      <x:c r="E108" s="8" t="str">
        <x:v>Seafood</x:v>
      </x:c>
      <x:c r="F108" s="8" t="str">
        <x:v>Strategic</x:v>
      </x:c>
      <x:c r="G108" s="8" t="str">
        <x:v>25</x:v>
      </x:c>
      <x:c r="H108" s="8" t="str">
        <x:v>0</x:v>
      </x:c>
      <x:c r="I108" s="8" t="str">
        <x:v>54</x:v>
      </x:c>
      <x:c r="J108" s="50" t="str">
        <x:v>246.92</x:v>
      </x:c>
      <x:c r="K108" s="8" t="str">
        <x:v>0</x:v>
      </x:c>
      <x:c r="L108" s="9" t="str">
        <x:v>5</x:v>
      </x:c>
    </x:row>
    <x:row r="109">
      <x:c r="A109" s="7" t="str">
        <x:v>MF-0108</x:v>
      </x:c>
      <x:c r="B109" s="8" t="str">
        <x:v>C-072</x:v>
      </x:c>
      <x:c r="C109" s="46" t="str">
        <x:v>2026-08-24</x:v>
      </x:c>
      <x:c r="D109" s="8" t="str">
        <x:v>Richmond</x:v>
      </x:c>
      <x:c r="E109" s="8" t="str">
        <x:v>Dairy</x:v>
      </x:c>
      <x:c r="F109" s="8" t="str">
        <x:v>Preferred</x:v>
      </x:c>
      <x:c r="G109" s="8" t="str">
        <x:v>26</x:v>
      </x:c>
      <x:c r="H109" s="8" t="str">
        <x:v>0</x:v>
      </x:c>
      <x:c r="I109" s="8" t="str">
        <x:v>51</x:v>
      </x:c>
      <x:c r="J109" s="50" t="str">
        <x:v>165.3</x:v>
      </x:c>
      <x:c r="K109" s="8" t="str">
        <x:v>0</x:v>
      </x:c>
      <x:c r="L109" s="9" t="str">
        <x:v>5</x:v>
      </x:c>
    </x:row>
    <x:row r="110">
      <x:c r="A110" s="7" t="str">
        <x:v>MF-0109</x:v>
      </x:c>
      <x:c r="B110" s="8" t="str">
        <x:v>C-013</x:v>
      </x:c>
      <x:c r="C110" s="46" t="str">
        <x:v>2026-08-25</x:v>
      </x:c>
      <x:c r="D110" s="8" t="str">
        <x:v>Newark</x:v>
      </x:c>
      <x:c r="E110" s="8" t="str">
        <x:v>Bakery</x:v>
      </x:c>
      <x:c r="F110" s="8" t="str">
        <x:v>Standard</x:v>
      </x:c>
      <x:c r="G110" s="8" t="str">
        <x:v>4</x:v>
      </x:c>
      <x:c r="H110" s="8" t="str">
        <x:v>0</x:v>
      </x:c>
      <x:c r="I110" s="8" t="str">
        <x:v>55</x:v>
      </x:c>
      <x:c r="J110" s="50" t="str">
        <x:v>43.05</x:v>
      </x:c>
      <x:c r="K110" s="8" t="str">
        <x:v>0</x:v>
      </x:c>
      <x:c r="L110" s="9" t="str">
        <x:v>5</x:v>
      </x:c>
    </x:row>
    <x:row r="111">
      <x:c r="A111" s="7" t="str">
        <x:v>MF-0110</x:v>
      </x:c>
      <x:c r="B111" s="8" t="str">
        <x:v>C-030</x:v>
      </x:c>
      <x:c r="C111" s="46" t="str">
        <x:v>2026-08-26</x:v>
      </x:c>
      <x:c r="D111" s="8" t="str">
        <x:v>Philadelphia</x:v>
      </x:c>
      <x:c r="E111" s="8" t="str">
        <x:v>Prepared Foods</x:v>
      </x:c>
      <x:c r="F111" s="8" t="str">
        <x:v>Strategic</x:v>
      </x:c>
      <x:c r="G111" s="8" t="str">
        <x:v>20</x:v>
      </x:c>
      <x:c r="H111" s="8" t="str">
        <x:v>0</x:v>
      </x:c>
      <x:c r="I111" s="8" t="str">
        <x:v>48</x:v>
      </x:c>
      <x:c r="J111" s="50" t="str">
        <x:v>167.49</x:v>
      </x:c>
      <x:c r="K111" s="8" t="str">
        <x:v>3</x:v>
      </x:c>
      <x:c r="L111" s="9" t="str">
        <x:v>4</x:v>
      </x:c>
    </x:row>
    <x:row r="112">
      <x:c r="A112" s="7" t="str">
        <x:v>MF-0111</x:v>
      </x:c>
      <x:c r="B112" s="8" t="str">
        <x:v>C-047</x:v>
      </x:c>
      <x:c r="C112" s="46" t="str">
        <x:v>2026-08-27</x:v>
      </x:c>
      <x:c r="D112" s="8" t="str">
        <x:v>Baltimore</x:v>
      </x:c>
      <x:c r="E112" s="8" t="str">
        <x:v>Produce</x:v>
      </x:c>
      <x:c r="F112" s="8" t="str">
        <x:v>Preferred</x:v>
      </x:c>
      <x:c r="G112" s="8" t="str">
        <x:v>26</x:v>
      </x:c>
      <x:c r="H112" s="8" t="str">
        <x:v>0</x:v>
      </x:c>
      <x:c r="I112" s="8" t="str">
        <x:v>45</x:v>
      </x:c>
      <x:c r="J112" s="50" t="str">
        <x:v>178.18</x:v>
      </x:c>
      <x:c r="K112" s="8" t="str">
        <x:v>0</x:v>
      </x:c>
      <x:c r="L112" s="9" t="str">
        <x:v>5</x:v>
      </x:c>
    </x:row>
    <x:row r="113">
      <x:c r="A113" s="7" t="str">
        <x:v>MF-0112</x:v>
      </x:c>
      <x:c r="B113" s="8" t="str">
        <x:v>C-064</x:v>
      </x:c>
      <x:c r="C113" s="46" t="str">
        <x:v>2026-08-28</x:v>
      </x:c>
      <x:c r="D113" s="8" t="str">
        <x:v>Richmond</x:v>
      </x:c>
      <x:c r="E113" s="8" t="str">
        <x:v>Seafood</x:v>
      </x:c>
      <x:c r="F113" s="8" t="str">
        <x:v>Standard</x:v>
      </x:c>
      <x:c r="G113" s="8" t="str">
        <x:v>8</x:v>
      </x:c>
      <x:c r="H113" s="8" t="str">
        <x:v>0</x:v>
      </x:c>
      <x:c r="I113" s="8" t="str">
        <x:v>32</x:v>
      </x:c>
      <x:c r="J113" s="50" t="str">
        <x:v>83.67</x:v>
      </x:c>
      <x:c r="K113" s="8" t="str">
        <x:v>4</x:v>
      </x:c>
      <x:c r="L113" s="9" t="str">
        <x:v>4</x:v>
      </x:c>
    </x:row>
    <x:row r="114">
      <x:c r="A114" s="7" t="str">
        <x:v>MF-0113</x:v>
      </x:c>
      <x:c r="B114" s="8" t="str">
        <x:v>C-005</x:v>
      </x:c>
      <x:c r="C114" s="46" t="str">
        <x:v>2026-08-01</x:v>
      </x:c>
      <x:c r="D114" s="8" t="str">
        <x:v>Newark</x:v>
      </x:c>
      <x:c r="E114" s="8" t="str">
        <x:v>Dairy</x:v>
      </x:c>
      <x:c r="F114" s="8" t="str">
        <x:v>Strategic</x:v>
      </x:c>
      <x:c r="G114" s="8" t="str">
        <x:v>29</x:v>
      </x:c>
      <x:c r="H114" s="8" t="str">
        <x:v>2</x:v>
      </x:c>
      <x:c r="I114" s="8" t="str">
        <x:v>57</x:v>
      </x:c>
      <x:c r="J114" s="50" t="str">
        <x:v>232.68</x:v>
      </x:c>
      <x:c r="K114" s="8" t="str">
        <x:v>0</x:v>
      </x:c>
      <x:c r="L114" s="9" t="str">
        <x:v>4</x:v>
      </x:c>
    </x:row>
    <x:row r="115">
      <x:c r="A115" s="7" t="str">
        <x:v>MF-0114</x:v>
      </x:c>
      <x:c r="B115" s="8" t="str">
        <x:v>C-022</x:v>
      </x:c>
      <x:c r="C115" s="46" t="str">
        <x:v>2026-08-02</x:v>
      </x:c>
      <x:c r="D115" s="8" t="str">
        <x:v>Philadelphia</x:v>
      </x:c>
      <x:c r="E115" s="8" t="str">
        <x:v>Bakery</x:v>
      </x:c>
      <x:c r="F115" s="8" t="str">
        <x:v>Preferred</x:v>
      </x:c>
      <x:c r="G115" s="8" t="str">
        <x:v>4</x:v>
      </x:c>
      <x:c r="H115" s="8" t="str">
        <x:v>3</x:v>
      </x:c>
      <x:c r="I115" s="8" t="str">
        <x:v>29</x:v>
      </x:c>
      <x:c r="J115" s="50" t="str">
        <x:v>45.81</x:v>
      </x:c>
      <x:c r="K115" s="8" t="str">
        <x:v>0</x:v>
      </x:c>
      <x:c r="L115" s="9" t="str">
        <x:v>4</x:v>
      </x:c>
    </x:row>
    <x:row r="116">
      <x:c r="A116" s="7" t="str">
        <x:v>MF-0115</x:v>
      </x:c>
      <x:c r="B116" s="8" t="str">
        <x:v>C-039</x:v>
      </x:c>
      <x:c r="C116" s="46" t="str">
        <x:v>2026-08-03</x:v>
      </x:c>
      <x:c r="D116" s="8" t="str">
        <x:v>Baltimore</x:v>
      </x:c>
      <x:c r="E116" s="8" t="str">
        <x:v>Prepared Foods</x:v>
      </x:c>
      <x:c r="F116" s="8" t="str">
        <x:v>Standard</x:v>
      </x:c>
      <x:c r="G116" s="8" t="str">
        <x:v>8</x:v>
      </x:c>
      <x:c r="H116" s="8" t="str">
        <x:v>0</x:v>
      </x:c>
      <x:c r="I116" s="8" t="str">
        <x:v>26</x:v>
      </x:c>
      <x:c r="J116" s="50" t="str">
        <x:v>74.77</x:v>
      </x:c>
      <x:c r="K116" s="8" t="str">
        <x:v>0</x:v>
      </x:c>
      <x:c r="L116" s="9" t="str">
        <x:v>5</x:v>
      </x:c>
    </x:row>
    <x:row r="117">
      <x:c r="A117" s="7" t="str">
        <x:v>MF-0116</x:v>
      </x:c>
      <x:c r="B117" s="8" t="str">
        <x:v>C-056</x:v>
      </x:c>
      <x:c r="C117" s="46" t="str">
        <x:v>2026-08-04</x:v>
      </x:c>
      <x:c r="D117" s="8" t="str">
        <x:v>Richmond</x:v>
      </x:c>
      <x:c r="E117" s="8" t="str">
        <x:v>Produce</x:v>
      </x:c>
      <x:c r="F117" s="8" t="str">
        <x:v>Strategic</x:v>
      </x:c>
      <x:c r="G117" s="8" t="str">
        <x:v>22</x:v>
      </x:c>
      <x:c r="H117" s="8" t="str">
        <x:v>0</x:v>
      </x:c>
      <x:c r="I117" s="8" t="str">
        <x:v>53</x:v>
      </x:c>
      <x:c r="J117" s="50" t="str">
        <x:v>214</x:v>
      </x:c>
      <x:c r="K117" s="8" t="str">
        <x:v>4</x:v>
      </x:c>
      <x:c r="L117" s="9" t="str">
        <x:v>4</x:v>
      </x:c>
    </x:row>
    <x:row r="118">
      <x:c r="A118" s="7" t="str">
        <x:v>MF-0117</x:v>
      </x:c>
      <x:c r="B118" s="8" t="str">
        <x:v>C-073</x:v>
      </x:c>
      <x:c r="C118" s="46" t="str">
        <x:v>2026-08-05</x:v>
      </x:c>
      <x:c r="D118" s="8" t="str">
        <x:v>Newark</x:v>
      </x:c>
      <x:c r="E118" s="8" t="str">
        <x:v>Seafood</x:v>
      </x:c>
      <x:c r="F118" s="8" t="str">
        <x:v>Preferred</x:v>
      </x:c>
      <x:c r="G118" s="8" t="str">
        <x:v>19</x:v>
      </x:c>
      <x:c r="H118" s="8" t="str">
        <x:v>0</x:v>
      </x:c>
      <x:c r="I118" s="8" t="str">
        <x:v>39</x:v>
      </x:c>
      <x:c r="J118" s="50" t="str">
        <x:v>141.13</x:v>
      </x:c>
      <x:c r="K118" s="8" t="str">
        <x:v>0</x:v>
      </x:c>
      <x:c r="L118" s="9" t="str">
        <x:v>5</x:v>
      </x:c>
    </x:row>
    <x:row r="119">
      <x:c r="A119" s="7" t="str">
        <x:v>MF-0118</x:v>
      </x:c>
      <x:c r="B119" s="8" t="str">
        <x:v>C-014</x:v>
      </x:c>
      <x:c r="C119" s="46" t="str">
        <x:v>2026-08-06</x:v>
      </x:c>
      <x:c r="D119" s="8" t="str">
        <x:v>Philadelphia</x:v>
      </x:c>
      <x:c r="E119" s="8" t="str">
        <x:v>Dairy</x:v>
      </x:c>
      <x:c r="F119" s="8" t="str">
        <x:v>Standard</x:v>
      </x:c>
      <x:c r="G119" s="8" t="str">
        <x:v>9</x:v>
      </x:c>
      <x:c r="H119" s="8" t="str">
        <x:v>0</x:v>
      </x:c>
      <x:c r="I119" s="8" t="str">
        <x:v>37</x:v>
      </x:c>
      <x:c r="J119" s="50" t="str">
        <x:v>80.73</x:v>
      </x:c>
      <x:c r="K119" s="8" t="str">
        <x:v>0</x:v>
      </x:c>
      <x:c r="L119" s="9" t="str">
        <x:v>5</x:v>
      </x:c>
    </x:row>
    <x:row r="120">
      <x:c r="A120" s="7" t="str">
        <x:v>MF-0119</x:v>
      </x:c>
      <x:c r="B120" s="8" t="str">
        <x:v>C-031</x:v>
      </x:c>
      <x:c r="C120" s="46" t="str">
        <x:v>2026-08-07</x:v>
      </x:c>
      <x:c r="D120" s="8" t="str">
        <x:v>Baltimore</x:v>
      </x:c>
      <x:c r="E120" s="8" t="str">
        <x:v>Bakery</x:v>
      </x:c>
      <x:c r="F120" s="8" t="str">
        <x:v>Strategic</x:v>
      </x:c>
      <x:c r="G120" s="8" t="str">
        <x:v>7</x:v>
      </x:c>
      <x:c r="H120" s="8" t="str">
        <x:v>0</x:v>
      </x:c>
      <x:c r="I120" s="8" t="str">
        <x:v>51</x:v>
      </x:c>
      <x:c r="J120" s="50" t="str">
        <x:v>71.46</x:v>
      </x:c>
      <x:c r="K120" s="8" t="str">
        <x:v>0</x:v>
      </x:c>
      <x:c r="L120" s="9" t="str">
        <x:v>5</x:v>
      </x:c>
    </x:row>
    <x:row r="121">
      <x:c r="A121" s="10" t="str">
        <x:v>MF-0120</x:v>
      </x:c>
      <x:c r="B121" s="11" t="str">
        <x:v>C-048</x:v>
      </x:c>
      <x:c r="C121" s="47" t="str">
        <x:v>2026-08-08</x:v>
      </x:c>
      <x:c r="D121" s="11" t="str">
        <x:v>Richmond</x:v>
      </x:c>
      <x:c r="E121" s="11" t="str">
        <x:v>Prepared Foods</x:v>
      </x:c>
      <x:c r="F121" s="11" t="str">
        <x:v>Preferred</x:v>
      </x:c>
      <x:c r="G121" s="11" t="str">
        <x:v>25</x:v>
      </x:c>
      <x:c r="H121" s="11" t="str">
        <x:v>0</x:v>
      </x:c>
      <x:c r="I121" s="11" t="str">
        <x:v>35</x:v>
      </x:c>
      <x:c r="J121" s="51" t="str">
        <x:v>213.57</x:v>
      </x:c>
      <x:c r="K121" s="11" t="str">
        <x:v>0</x:v>
      </x:c>
      <x:c r="L121" s="12" t="str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fc6c6f5035b74a2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58" t="str">
        <x:v>Lab 01 Analysis Workbook | MetroFresh Logistics</x:v>
      </x:c>
      <x:c r="B1" s="58"/>
      <x:c r="C1" s="58"/>
      <x:c r="D1" s="58"/>
      <x:c r="E1" s="58"/>
      <x:c r="F1" s="58"/>
      <x:c r="G1" s="58"/>
      <x:c r="H1" s="58"/>
    </x:row>
    <x:row r="2">
      <x:c r="A2" s="58"/>
      <x:c r="B2" s="58"/>
      <x:c r="C2" s="58"/>
      <x:c r="D2" s="58"/>
      <x:c r="E2" s="58"/>
      <x:c r="F2" s="58"/>
      <x:c r="G2" s="58"/>
      <x:c r="H2" s="58"/>
    </x:row>
    <x:row r="3">
      <x:c r="A3" s="64" t="str">
        <x:v>STUDENT COPY: use the Data sheet as the single source for both Excel and SPSS. Complete the lavender cells.</x:v>
      </x:c>
      <x:c r="B3" s="64"/>
      <x:c r="C3" s="64"/>
      <x:c r="D3" s="64"/>
      <x:c r="E3" s="64"/>
      <x:c r="F3" s="64"/>
      <x:c r="G3" s="64"/>
      <x:c r="H3" s="64"/>
    </x:row>
    <x:row r="5">
      <x:c r="A5" s="74" t="str">
        <x:v>Step</x:v>
      </x:c>
      <x:c r="B5" s="74" t="str">
        <x:v>Required action</x:v>
      </x:c>
    </x:row>
    <x:row r="6">
      <x:c r="A6" s="88" t="str">
        <x:v>1</x:v>
      </x:c>
      <x:c r="B6" s="82" t="str">
        <x:v>Save a working copy as Lab01_Jane_Doe_jd1234_Analysis.xlsx.</x:v>
      </x:c>
    </x:row>
    <x:row r="7">
      <x:c r="A7" s="88" t="str">
        <x:v>2</x:v>
      </x:c>
      <x:c r="B7" s="82" t="str">
        <x:v>Confirm the Data sheet contains 120 rows and the table is named tblMetroFresh.</x:v>
      </x:c>
    </x:row>
    <x:row r="8">
      <x:c r="A8" s="88" t="str">
        <x:v>3</x:v>
      </x:c>
      <x:c r="B8" s="82" t="str">
        <x:v>Complete Data Audit before calculating any statistic.</x:v>
      </x:c>
    </x:row>
    <x:row r="9">
      <x:c r="A9" s="88" t="str">
        <x:v>4</x:v>
      </x:c>
      <x:c r="B9" s="82" t="str">
        <x:v>Use full structured references in the Descriptive Statistics sheet.</x:v>
      </x:c>
    </x:row>
    <x:row r="10">
      <x:c r="A10" s="88" t="str">
        <x:v>5</x:v>
      </x:c>
      <x:c r="B10" s="82" t="str">
        <x:v>Import this workbook's Data sheet into SPSS. Do not create a second data source.</x:v>
      </x:c>
    </x:row>
    <x:row r="11">
      <x:c r="A11" s="88" t="str">
        <x:v>6</x:v>
      </x:c>
      <x:c r="B11" s="82" t="str">
        <x:v>Reconcile 15 shared Excel and SPSS results within 0.01.</x:v>
      </x:c>
    </x:row>
    <x:row r="12">
      <x:c r="A12" s="88" t="str">
        <x:v>7</x:v>
      </x:c>
      <x:c r="B12" s="82" t="str">
        <x:v>Map every number used in the memo to a labeled result.</x:v>
      </x:c>
    </x:row>
    <x:row r="14">
      <x:c r="A14" s="92" t="str">
        <x:v>Source-preservation rule: do not replace blanks with zero, delete unusual values, or alter source records. Document every inclusion rule and unresolved question.</x:v>
      </x:c>
      <x:c r="B14" s="92"/>
      <x:c r="C14" s="92"/>
      <x:c r="D14" s="92"/>
      <x:c r="E14" s="92"/>
      <x:c r="F14" s="92"/>
      <x:c r="G14" s="92"/>
      <x:c r="H14" s="92"/>
    </x:row>
    <x:row r="15">
      <x:c r="A15" s="92"/>
      <x:c r="B15" s="92"/>
      <x:c r="C15" s="92"/>
      <x:c r="D15" s="92"/>
      <x:c r="E15" s="92"/>
      <x:c r="F15" s="92"/>
      <x:c r="G15" s="92"/>
      <x:c r="H15" s="92"/>
    </x:row>
    <x:row r="16">
      <x:c r="A16" s="92"/>
      <x:c r="B16" s="92"/>
      <x:c r="C16" s="92"/>
      <x:c r="D16" s="92"/>
      <x:c r="E16" s="92"/>
      <x:c r="F16" s="92"/>
      <x:c r="G16" s="92"/>
      <x:c r="H16" s="92"/>
    </x:row>
    <x:row r="17">
      <x:c r="A17" s="92"/>
      <x:c r="B17" s="92"/>
      <x:c r="C17" s="92"/>
      <x:c r="D17" s="92"/>
      <x:c r="E17" s="92"/>
      <x:c r="F17" s="92"/>
      <x:c r="G17" s="92"/>
      <x:c r="H17" s="92"/>
    </x:row>
  </x:sheetData>
  <x:mergeCells>
    <x:mergeCell ref="A1:H2"/>
    <x:mergeCell ref="A3:H3"/>
    <x:mergeCell ref="A14:H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8" hidden="0" customWidth="1"/>
    <x:col min="3" max="3" width="38" hidden="0" customWidth="1"/>
    <x:col min="4" max="4" width="40" hidden="0" customWidth="1"/>
  </x:cols>
  <x:sheetData>
    <x:row r="1">
      <x:c r="A1" s="58" t="str">
        <x:v>Data Audit</x:v>
      </x:c>
      <x:c r="B1" s="58"/>
      <x:c r="C1" s="58"/>
      <x:c r="D1" s="58"/>
    </x:row>
    <x:row r="2">
      <x:c r="A2" s="58"/>
      <x:c r="B2" s="58"/>
      <x:c r="C2" s="58"/>
      <x:c r="D2" s="58"/>
    </x:row>
    <x:row r="3">
      <x:c r="A3" s="64" t="str">
        <x:v>Establish the observational unit, identifier, record count, measurement levels, and constraints before analysis.</x:v>
      </x:c>
      <x:c r="B3" s="64"/>
      <x:c r="C3" s="64"/>
      <x:c r="D3" s="64"/>
    </x:row>
    <x:row r="5">
      <x:c r="A5" s="74" t="str">
        <x:v>Audit item</x:v>
      </x:c>
      <x:c r="B5" s="74" t="str">
        <x:v>Response</x:v>
      </x:c>
      <x:c r="C5" s="74" t="str">
        <x:v>Evidence</x:v>
      </x:c>
      <x:c r="D5" s="74" t="str">
        <x:v>Status</x:v>
      </x:c>
    </x:row>
    <x:row r="6">
      <x:c r="A6" s="82" t="str">
        <x:v>Observational unit and table grain</x:v>
      </x:c>
      <x:c r="B6" s="84" t="str"/>
      <x:c r="C6" s="82" t="str">
        <x:v>Data dictionary and Data sheet</x:v>
      </x:c>
      <x:c r="D6" s="82" t="str">
        <x:v>Complete</x:v>
      </x:c>
    </x:row>
    <x:row r="7">
      <x:c r="A7" s="82" t="str">
        <x:v>Record identifier</x:v>
      </x:c>
      <x:c r="B7" s="84" t="str"/>
      <x:c r="C7" s="82" t="str">
        <x:v>120 distinct values</x:v>
      </x:c>
      <x:c r="D7" s="82" t="str">
        <x:v>Complete</x:v>
      </x:c>
    </x:row>
    <x:row r="8">
      <x:c r="A8" s="82" t="str">
        <x:v>Repeated customer IDs</x:v>
      </x:c>
      <x:c r="B8" s="84" t="str"/>
      <x:c r="C8" s="82" t="str">
        <x:v>76 distinct customers across 120 orders</x:v>
      </x:c>
      <x:c r="D8" s="82" t="str">
        <x:v>Complete</x:v>
      </x:c>
    </x:row>
    <x:row r="9">
      <x:c r="A9" s="82" t="str">
        <x:v>Total records</x:v>
      </x:c>
      <x:c r="B9" s="84" t="str"/>
      <x:c r="C9" s="82" t="str">
        <x:v>ROWS(tblMetroFresh[order_id])</x:v>
      </x:c>
      <x:c r="D9" s="82" t="str">
        <x:v>Complete</x:v>
      </x:c>
    </x:row>
    <x:row r="10">
      <x:c r="A10" s="82" t="str">
        <x:v>Logical constraint</x:v>
      </x:c>
      <x:c r="B10" s="84" t="str"/>
      <x:c r="C10" s="82" t="str">
        <x:v>Data-quality check</x:v>
      </x:c>
      <x:c r="D10" s="82" t="str">
        <x:v>Complete</x:v>
      </x:c>
    </x:row>
    <x:row r="11">
      <x:c r="A11" s="82" t="str">
        <x:v>Primary limitation</x:v>
      </x:c>
      <x:c r="B11" s="84" t="str"/>
      <x:c r="C11" s="82" t="str">
        <x:v>Quality Log</x:v>
      </x:c>
      <x:c r="D11" s="82" t="str">
        <x:v>Complete</x:v>
      </x:c>
    </x:row>
    <x:row r="14">
      <x:c r="A14" s="74" t="str">
        <x:v>Field</x:v>
      </x:c>
      <x:c r="B14" s="74" t="str">
        <x:v>Measurement level</x:v>
      </x:c>
      <x:c r="C14" s="74" t="str">
        <x:v>Why</x:v>
      </x:c>
      <x:c r="D14" s="74" t="str">
        <x:v>Appropriate treatment</x:v>
      </x:c>
    </x:row>
    <x:row r="15">
      <x:c r="A15" s="82" t="str">
        <x:v>fulfillment_hub</x:v>
      </x:c>
      <x:c r="B15" s="84" t="str"/>
      <x:c r="C15" s="84" t="str"/>
      <x:c r="D15" s="84" t="str"/>
    </x:row>
    <x:row r="16">
      <x:c r="A16" s="82" t="str">
        <x:v>delivery_minutes</x:v>
      </x:c>
      <x:c r="B16" s="84" t="str"/>
      <x:c r="C16" s="84" t="str"/>
      <x:c r="D16" s="84" t="str"/>
    </x:row>
    <x:row r="17">
      <x:c r="A17" s="82" t="str">
        <x:v>order_value</x:v>
      </x:c>
      <x:c r="B17" s="84" t="str"/>
      <x:c r="C17" s="84" t="str"/>
      <x:c r="D17" s="84" t="str"/>
    </x:row>
    <x:row r="18">
      <x:c r="A18" s="82" t="str">
        <x:v>spoilage_units</x:v>
      </x:c>
      <x:c r="B18" s="84" t="str"/>
      <x:c r="C18" s="84" t="str"/>
      <x:c r="D18" s="84" t="str"/>
    </x:row>
    <x:row r="19">
      <x:c r="A19" s="82" t="str">
        <x:v>customer_rating</x:v>
      </x:c>
      <x:c r="B19" s="84" t="str"/>
      <x:c r="C19" s="84" t="str"/>
      <x:c r="D19" s="84" t="str"/>
    </x:row>
  </x:sheetData>
  <x:mergeCells>
    <x:mergeCell ref="A1:D2"/>
    <x:mergeCell ref="A3:D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5" hidden="0" customWidth="1"/>
    <x:col min="4" max="4" width="12" hidden="0" customWidth="1"/>
    <x:col min="5" max="5" width="13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9" hidden="0" customWidth="1"/>
  </x:cols>
  <x:sheetData>
    <x:row r="1">
      <x:c r="A1" s="58" t="str">
        <x:v>Descriptive Statistics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</x:row>
    <x:row r="2">
      <x:c r="A2" s="58"/>
      <x:c r="B2" s="58"/>
      <x:c r="C2" s="58"/>
      <x:c r="D2" s="58"/>
      <x:c r="E2" s="58"/>
      <x:c r="F2" s="58"/>
      <x:c r="G2" s="58"/>
      <x:c r="H2" s="58"/>
      <x:c r="I2" s="58"/>
      <x:c r="J2" s="58"/>
      <x:c r="K2" s="58"/>
    </x:row>
    <x:row r="3">
      <x:c r="A3" s="64" t="str">
        <x:v>Use only valid numeric values. Report missing counts separately. Use sample standard deviation (n - 1).</x:v>
      </x:c>
      <x:c r="B3" s="64"/>
      <x:c r="C3" s="64"/>
      <x:c r="D3" s="64"/>
      <x:c r="E3" s="64"/>
      <x:c r="F3" s="64"/>
      <x:c r="G3" s="64"/>
      <x:c r="H3" s="64"/>
      <x:c r="I3" s="64"/>
      <x:c r="J3" s="64"/>
      <x:c r="K3" s="64"/>
    </x:row>
    <x:row r="5">
      <x:c r="A5" s="74" t="str">
        <x:v>Variable</x:v>
      </x:c>
      <x:c r="B5" s="74" t="str">
        <x:v>Unit</x:v>
      </x:c>
      <x:c r="C5" s="74" t="str">
        <x:v>Total records</x:v>
      </x:c>
      <x:c r="D5" s="74" t="str">
        <x:v>Valid N</x:v>
      </x:c>
      <x:c r="E5" s="74" t="str">
        <x:v>Missing N</x:v>
      </x:c>
      <x:c r="F5" s="74" t="str">
        <x:v>Mean</x:v>
      </x:c>
      <x:c r="G5" s="74" t="str">
        <x:v>Median</x:v>
      </x:c>
      <x:c r="H5" s="74" t="str">
        <x:v>Minimum</x:v>
      </x:c>
      <x:c r="I5" s="74" t="str">
        <x:v>Maximum</x:v>
      </x:c>
      <x:c r="J5" s="74" t="str">
        <x:v>Range</x:v>
      </x:c>
      <x:c r="K5" s="74" t="str">
        <x:v>Sample std. dev.</x:v>
      </x:c>
    </x:row>
    <x:row r="6">
      <x:c r="A6" s="94" t="str">
        <x:v>delivery_minutes</x:v>
      </x:c>
      <x:c r="B6" s="94" t="str">
        <x:v>minutes</x:v>
      </x:c>
      <x:c r="C6" s="96" t="str"/>
      <x:c r="D6" s="96" t="str"/>
      <x:c r="E6" s="96" t="str"/>
      <x:c r="F6" s="98" t="str"/>
      <x:c r="G6" s="98" t="str"/>
      <x:c r="H6" s="98" t="str"/>
      <x:c r="I6" s="98" t="str"/>
      <x:c r="J6" s="98" t="str"/>
      <x:c r="K6" s="98" t="str"/>
    </x:row>
    <x:row r="7">
      <x:c r="A7" s="94" t="str">
        <x:v>order_value</x:v>
      </x:c>
      <x:c r="B7" s="94" t="str">
        <x:v>USD</x:v>
      </x:c>
      <x:c r="C7" s="96" t="str"/>
      <x:c r="D7" s="96" t="str"/>
      <x:c r="E7" s="96" t="str"/>
      <x:c r="F7" s="98" t="str"/>
      <x:c r="G7" s="98" t="str"/>
      <x:c r="H7" s="98" t="str"/>
      <x:c r="I7" s="98" t="str"/>
      <x:c r="J7" s="98" t="str"/>
      <x:c r="K7" s="98" t="str"/>
    </x:row>
    <x:row r="8">
      <x:c r="A8" s="94" t="str">
        <x:v>spoilage_units</x:v>
      </x:c>
      <x:c r="B8" s="94" t="str">
        <x:v>units</x:v>
      </x:c>
      <x:c r="C8" s="96" t="str"/>
      <x:c r="D8" s="96" t="str"/>
      <x:c r="E8" s="96" t="str"/>
      <x:c r="F8" s="98" t="str"/>
      <x:c r="G8" s="98" t="str"/>
      <x:c r="H8" s="98" t="str"/>
      <x:c r="I8" s="98" t="str"/>
      <x:c r="J8" s="98" t="str"/>
      <x:c r="K8" s="98" t="str"/>
    </x:row>
    <x:row r="11">
      <x:c r="A11" s="92" t="str">
        <x:v>Student check: valid N plus missing N must equal 120 for every variable. Minimum must be no greater than median, and median must be no greater than maximum. Range must equal maximum minus minimum.</x:v>
      </x:c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</x:row>
    <x:row r="12">
      <x:c r="A12" s="92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</x:row>
    <x:row r="13">
      <x:c r="A13" s="92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</x:row>
  </x:sheetData>
  <x:mergeCells>
    <x:mergeCell ref="A1:K2"/>
    <x:mergeCell ref="A3:K3"/>
    <x:mergeCell ref="A11:K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9" hidden="0" customWidth="1"/>
    <x:col min="3" max="3" width="17" hidden="0" customWidth="1"/>
    <x:col min="4" max="4" width="17" hidden="0" customWidth="1"/>
    <x:col min="5" max="5" width="21" hidden="0" customWidth="1"/>
    <x:col min="6" max="6" width="13" hidden="0" customWidth="1"/>
    <x:col min="7" max="7" width="13" hidden="0" customWidth="1"/>
  </x:cols>
  <x:sheetData>
    <x:row r="1">
      <x:c r="A1" s="58" t="str">
        <x:v>Excel to SPSS Parity</x:v>
      </x:c>
      <x:c r="B1" s="58"/>
      <x:c r="C1" s="58"/>
      <x:c r="D1" s="58"/>
      <x:c r="E1" s="58"/>
      <x:c r="F1" s="58"/>
      <x:c r="G1" s="58"/>
    </x:row>
    <x:row r="2">
      <x:c r="A2" s="58"/>
      <x:c r="B2" s="58"/>
      <x:c r="C2" s="58"/>
      <x:c r="D2" s="58"/>
      <x:c r="E2" s="58"/>
      <x:c r="F2" s="58"/>
      <x:c r="G2" s="58"/>
    </x:row>
    <x:row r="3">
      <x:c r="A3" s="64" t="str">
        <x:v>Fifteen shared comparisons. Every absolute difference must be 0.01 or less.</x:v>
      </x:c>
      <x:c r="B3" s="64"/>
      <x:c r="C3" s="64"/>
      <x:c r="D3" s="64"/>
      <x:c r="E3" s="64"/>
      <x:c r="F3" s="64"/>
      <x:c r="G3" s="64"/>
    </x:row>
    <x:row r="5">
      <x:c r="A5" s="74" t="str">
        <x:v>Variable</x:v>
      </x:c>
      <x:c r="B5" s="74" t="str">
        <x:v>Statistic</x:v>
      </x:c>
      <x:c r="C5" s="74" t="str">
        <x:v>Excel result</x:v>
      </x:c>
      <x:c r="D5" s="74" t="str">
        <x:v>SPSS result</x:v>
      </x:c>
      <x:c r="E5" s="74" t="str">
        <x:v>Absolute difference</x:v>
      </x:c>
      <x:c r="F5" s="74" t="str">
        <x:v>Tolerance</x:v>
      </x:c>
      <x:c r="G5" s="74" t="str">
        <x:v>Status</x:v>
      </x:c>
    </x:row>
    <x:row r="6">
      <x:c r="A6" s="82" t="str">
        <x:v>delivery_minutes</x:v>
      </x:c>
      <x:c r="B6" s="82" t="str">
        <x:v>Valid count</x:v>
      </x:c>
      <x:c r="C6" s="98" t="str"/>
      <x:c r="D6" s="98" t="str"/>
      <x:c r="E6" s="100" t="str">
        <x:f>IF(OR(C6="",D6=""),"",ABS(C6-D6))</x:f>
      </x:c>
      <x:c r="F6" s="100" t="n">
        <x:v>0.01</x:v>
      </x:c>
      <x:c r="G6" s="82" t="str">
        <x:f>IF(E6="","",IF(E6&lt;=F6,"PASS","CHECK"))</x:f>
      </x:c>
    </x:row>
    <x:row r="7">
      <x:c r="A7" s="82" t="str">
        <x:v>delivery_minutes</x:v>
      </x:c>
      <x:c r="B7" s="82" t="str">
        <x:v>Mean</x:v>
      </x:c>
      <x:c r="C7" s="98" t="str"/>
      <x:c r="D7" s="98" t="str"/>
      <x:c r="E7" s="100" t="str">
        <x:f>IF(OR(C7="",D7=""),"",ABS(C7-D7))</x:f>
      </x:c>
      <x:c r="F7" s="100" t="n">
        <x:v>0.01</x:v>
      </x:c>
      <x:c r="G7" s="82" t="str">
        <x:f>IF(E7="","",IF(E7&lt;=F7,"PASS","CHECK"))</x:f>
      </x:c>
    </x:row>
    <x:row r="8">
      <x:c r="A8" s="82" t="str">
        <x:v>delivery_minutes</x:v>
      </x:c>
      <x:c r="B8" s="82" t="str">
        <x:v>Minimum</x:v>
      </x:c>
      <x:c r="C8" s="98" t="str"/>
      <x:c r="D8" s="98" t="str"/>
      <x:c r="E8" s="100" t="str">
        <x:f>IF(OR(C8="",D8=""),"",ABS(C8-D8))</x:f>
      </x:c>
      <x:c r="F8" s="100" t="n">
        <x:v>0.01</x:v>
      </x:c>
      <x:c r="G8" s="82" t="str">
        <x:f>IF(E8="","",IF(E8&lt;=F8,"PASS","CHECK"))</x:f>
      </x:c>
    </x:row>
    <x:row r="9">
      <x:c r="A9" s="82" t="str">
        <x:v>delivery_minutes</x:v>
      </x:c>
      <x:c r="B9" s="82" t="str">
        <x:v>Maximum</x:v>
      </x:c>
      <x:c r="C9" s="98" t="str"/>
      <x:c r="D9" s="98" t="str"/>
      <x:c r="E9" s="100" t="str">
        <x:f>IF(OR(C9="",D9=""),"",ABS(C9-D9))</x:f>
      </x:c>
      <x:c r="F9" s="100" t="n">
        <x:v>0.01</x:v>
      </x:c>
      <x:c r="G9" s="82" t="str">
        <x:f>IF(E9="","",IF(E9&lt;=F9,"PASS","CHECK"))</x:f>
      </x:c>
    </x:row>
    <x:row r="10">
      <x:c r="A10" s="82" t="str">
        <x:v>delivery_minutes</x:v>
      </x:c>
      <x:c r="B10" s="82" t="str">
        <x:v>Sample standard deviation</x:v>
      </x:c>
      <x:c r="C10" s="98" t="str"/>
      <x:c r="D10" s="98" t="str"/>
      <x:c r="E10" s="100" t="str">
        <x:f>IF(OR(C10="",D10=""),"",ABS(C10-D10))</x:f>
      </x:c>
      <x:c r="F10" s="100" t="n">
        <x:v>0.01</x:v>
      </x:c>
      <x:c r="G10" s="82" t="str">
        <x:f>IF(E10="","",IF(E10&lt;=F10,"PASS","CHECK"))</x:f>
      </x:c>
    </x:row>
    <x:row r="11">
      <x:c r="A11" s="82" t="str">
        <x:v>order_value</x:v>
      </x:c>
      <x:c r="B11" s="82" t="str">
        <x:v>Valid count</x:v>
      </x:c>
      <x:c r="C11" s="98" t="str"/>
      <x:c r="D11" s="98" t="str"/>
      <x:c r="E11" s="100" t="str">
        <x:f>IF(OR(C11="",D11=""),"",ABS(C11-D11))</x:f>
      </x:c>
      <x:c r="F11" s="100" t="n">
        <x:v>0.01</x:v>
      </x:c>
      <x:c r="G11" s="82" t="str">
        <x:f>IF(E11="","",IF(E11&lt;=F11,"PASS","CHECK"))</x:f>
      </x:c>
    </x:row>
    <x:row r="12">
      <x:c r="A12" s="82" t="str">
        <x:v>order_value</x:v>
      </x:c>
      <x:c r="B12" s="82" t="str">
        <x:v>Mean</x:v>
      </x:c>
      <x:c r="C12" s="98" t="str"/>
      <x:c r="D12" s="98" t="str"/>
      <x:c r="E12" s="100" t="str">
        <x:f>IF(OR(C12="",D12=""),"",ABS(C12-D12))</x:f>
      </x:c>
      <x:c r="F12" s="100" t="n">
        <x:v>0.01</x:v>
      </x:c>
      <x:c r="G12" s="82" t="str">
        <x:f>IF(E12="","",IF(E12&lt;=F12,"PASS","CHECK"))</x:f>
      </x:c>
    </x:row>
    <x:row r="13">
      <x:c r="A13" s="82" t="str">
        <x:v>order_value</x:v>
      </x:c>
      <x:c r="B13" s="82" t="str">
        <x:v>Minimum</x:v>
      </x:c>
      <x:c r="C13" s="98" t="str"/>
      <x:c r="D13" s="98" t="str"/>
      <x:c r="E13" s="100" t="str">
        <x:f>IF(OR(C13="",D13=""),"",ABS(C13-D13))</x:f>
      </x:c>
      <x:c r="F13" s="100" t="n">
        <x:v>0.01</x:v>
      </x:c>
      <x:c r="G13" s="82" t="str">
        <x:f>IF(E13="","",IF(E13&lt;=F13,"PASS","CHECK"))</x:f>
      </x:c>
    </x:row>
    <x:row r="14">
      <x:c r="A14" s="82" t="str">
        <x:v>order_value</x:v>
      </x:c>
      <x:c r="B14" s="82" t="str">
        <x:v>Maximum</x:v>
      </x:c>
      <x:c r="C14" s="98" t="str"/>
      <x:c r="D14" s="98" t="str"/>
      <x:c r="E14" s="100" t="str">
        <x:f>IF(OR(C14="",D14=""),"",ABS(C14-D14))</x:f>
      </x:c>
      <x:c r="F14" s="100" t="n">
        <x:v>0.01</x:v>
      </x:c>
      <x:c r="G14" s="82" t="str">
        <x:f>IF(E14="","",IF(E14&lt;=F14,"PASS","CHECK"))</x:f>
      </x:c>
    </x:row>
    <x:row r="15">
      <x:c r="A15" s="82" t="str">
        <x:v>order_value</x:v>
      </x:c>
      <x:c r="B15" s="82" t="str">
        <x:v>Sample standard deviation</x:v>
      </x:c>
      <x:c r="C15" s="98" t="str"/>
      <x:c r="D15" s="98" t="str"/>
      <x:c r="E15" s="100" t="str">
        <x:f>IF(OR(C15="",D15=""),"",ABS(C15-D15))</x:f>
      </x:c>
      <x:c r="F15" s="100" t="n">
        <x:v>0.01</x:v>
      </x:c>
      <x:c r="G15" s="82" t="str">
        <x:f>IF(E15="","",IF(E15&lt;=F15,"PASS","CHECK"))</x:f>
      </x:c>
    </x:row>
    <x:row r="16">
      <x:c r="A16" s="82" t="str">
        <x:v>spoilage_units</x:v>
      </x:c>
      <x:c r="B16" s="82" t="str">
        <x:v>Valid count</x:v>
      </x:c>
      <x:c r="C16" s="98" t="str"/>
      <x:c r="D16" s="98" t="str"/>
      <x:c r="E16" s="100" t="str">
        <x:f>IF(OR(C16="",D16=""),"",ABS(C16-D16))</x:f>
      </x:c>
      <x:c r="F16" s="100" t="n">
        <x:v>0.01</x:v>
      </x:c>
      <x:c r="G16" s="82" t="str">
        <x:f>IF(E16="","",IF(E16&lt;=F16,"PASS","CHECK"))</x:f>
      </x:c>
    </x:row>
    <x:row r="17">
      <x:c r="A17" s="82" t="str">
        <x:v>spoilage_units</x:v>
      </x:c>
      <x:c r="B17" s="82" t="str">
        <x:v>Mean</x:v>
      </x:c>
      <x:c r="C17" s="98" t="str"/>
      <x:c r="D17" s="98" t="str"/>
      <x:c r="E17" s="100" t="str">
        <x:f>IF(OR(C17="",D17=""),"",ABS(C17-D17))</x:f>
      </x:c>
      <x:c r="F17" s="100" t="n">
        <x:v>0.01</x:v>
      </x:c>
      <x:c r="G17" s="82" t="str">
        <x:f>IF(E17="","",IF(E17&lt;=F17,"PASS","CHECK"))</x:f>
      </x:c>
    </x:row>
    <x:row r="18">
      <x:c r="A18" s="82" t="str">
        <x:v>spoilage_units</x:v>
      </x:c>
      <x:c r="B18" s="82" t="str">
        <x:v>Minimum</x:v>
      </x:c>
      <x:c r="C18" s="98" t="str"/>
      <x:c r="D18" s="98" t="str"/>
      <x:c r="E18" s="100" t="str">
        <x:f>IF(OR(C18="",D18=""),"",ABS(C18-D18))</x:f>
      </x:c>
      <x:c r="F18" s="100" t="n">
        <x:v>0.01</x:v>
      </x:c>
      <x:c r="G18" s="82" t="str">
        <x:f>IF(E18="","",IF(E18&lt;=F18,"PASS","CHECK"))</x:f>
      </x:c>
    </x:row>
    <x:row r="19">
      <x:c r="A19" s="82" t="str">
        <x:v>spoilage_units</x:v>
      </x:c>
      <x:c r="B19" s="82" t="str">
        <x:v>Maximum</x:v>
      </x:c>
      <x:c r="C19" s="98" t="str"/>
      <x:c r="D19" s="98" t="str"/>
      <x:c r="E19" s="100" t="str">
        <x:f>IF(OR(C19="",D19=""),"",ABS(C19-D19))</x:f>
      </x:c>
      <x:c r="F19" s="100" t="n">
        <x:v>0.01</x:v>
      </x:c>
      <x:c r="G19" s="82" t="str">
        <x:f>IF(E19="","",IF(E19&lt;=F19,"PASS","CHECK"))</x:f>
      </x:c>
    </x:row>
    <x:row r="20">
      <x:c r="A20" s="82" t="str">
        <x:v>spoilage_units</x:v>
      </x:c>
      <x:c r="B20" s="82" t="str">
        <x:v>Sample standard deviation</x:v>
      </x:c>
      <x:c r="C20" s="98" t="str"/>
      <x:c r="D20" s="98" t="str"/>
      <x:c r="E20" s="100" t="str">
        <x:f>IF(OR(C20="",D20=""),"",ABS(C20-D20))</x:f>
      </x:c>
      <x:c r="F20" s="100" t="n">
        <x:v>0.01</x:v>
      </x:c>
      <x:c r="G20" s="82" t="str">
        <x:f>IF(E20="","",IF(E20&lt;=F20,"PASS","CHECK"))</x:f>
      </x:c>
    </x:row>
    <x:row r="23">
      <x:c r="A23" s="92" t="str">
        <x:v>Enter the SPSS values exactly as displayed, keeping enough decimals for the 0.01 tolerance check. Reconcile every CHECK before using the result in the memo.</x:v>
      </x:c>
      <x:c r="B23" s="92"/>
      <x:c r="C23" s="92"/>
      <x:c r="D23" s="92"/>
      <x:c r="E23" s="92"/>
      <x:c r="F23" s="92"/>
      <x:c r="G23" s="92"/>
    </x:row>
    <x:row r="24">
      <x:c r="A24" s="92"/>
      <x:c r="B24" s="92"/>
      <x:c r="C24" s="92"/>
      <x:c r="D24" s="92"/>
      <x:c r="E24" s="92"/>
      <x:c r="F24" s="92"/>
      <x:c r="G24" s="92"/>
    </x:row>
    <x:row r="25">
      <x:c r="A25" s="92"/>
      <x:c r="B25" s="92"/>
      <x:c r="C25" s="92"/>
      <x:c r="D25" s="92"/>
      <x:c r="E25" s="92"/>
      <x:c r="F25" s="92"/>
      <x:c r="G25" s="92"/>
    </x:row>
  </x:sheetData>
  <x:mergeCells>
    <x:mergeCell ref="A1:G2"/>
    <x:mergeCell ref="A3:G3"/>
    <x:mergeCell ref="A23:G25"/>
  </x:mergeCells>
  <x:pageMargins left="0.7" right="0.7" top="0.75" bottom="0.75" header="0.3" footer="0.3"/>
  <x:tableParts count="1">
    <x:tablePart xmlns:r="http://schemas.openxmlformats.org/officeDocument/2006/relationships" r:id="R3ce8a6c346b144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25" hidden="0" customWidth="1"/>
    <x:col min="4" max="4" width="39" hidden="0" customWidth="1"/>
    <x:col min="5" max="5" width="40" hidden="0" customWidth="1"/>
    <x:col min="6" max="6" width="38" hidden="0" customWidth="1"/>
  </x:cols>
  <x:sheetData>
    <x:row r="1">
      <x:c r="A1" s="58" t="str">
        <x:v>Data-Quality Investigation Log</x:v>
      </x:c>
      <x:c r="B1" s="58"/>
      <x:c r="C1" s="58"/>
      <x:c r="D1" s="58"/>
      <x:c r="E1" s="58"/>
      <x:c r="F1" s="58"/>
    </x:row>
    <x:row r="2">
      <x:c r="A2" s="58"/>
      <x:c r="B2" s="58"/>
      <x:c r="C2" s="58"/>
      <x:c r="D2" s="58"/>
      <x:c r="E2" s="58"/>
      <x:c r="F2" s="58"/>
    </x:row>
    <x:row r="3">
      <x:c r="A3" s="64" t="str">
        <x:v>Flag missing, unusual, or constraint-related records. Preserve source values and document unresolved questions.</x:v>
      </x:c>
      <x:c r="B3" s="64"/>
      <x:c r="C3" s="64"/>
      <x:c r="D3" s="64"/>
      <x:c r="E3" s="64"/>
      <x:c r="F3" s="64"/>
    </x:row>
    <x:row r="5">
      <x:c r="A5" s="74" t="str">
        <x:v>order_id</x:v>
      </x:c>
      <x:c r="B5" s="74" t="str">
        <x:v>Field reviewed</x:v>
      </x:c>
      <x:c r="C5" s="74" t="str">
        <x:v>Recorded value or issue</x:v>
      </x:c>
      <x:c r="D5" s="74" t="str">
        <x:v>Why flagged</x:v>
      </x:c>
      <x:c r="E5" s="74" t="str">
        <x:v>Action taken</x:v>
      </x:c>
      <x:c r="F5" s="74" t="str">
        <x:v>Remaining question</x:v>
      </x:c>
    </x:row>
    <x:row r="6">
      <x:c r="A6" s="84" t="str"/>
      <x:c r="B6" s="84" t="str"/>
      <x:c r="C6" s="84" t="str"/>
      <x:c r="D6" s="84" t="str"/>
      <x:c r="E6" s="84" t="str"/>
      <x:c r="F6" s="84" t="str"/>
    </x:row>
    <x:row r="7">
      <x:c r="A7" s="84" t="str"/>
      <x:c r="B7" s="84" t="str"/>
      <x:c r="C7" s="84" t="str"/>
      <x:c r="D7" s="84" t="str"/>
      <x:c r="E7" s="84" t="str"/>
      <x:c r="F7" s="84" t="str"/>
    </x:row>
    <x:row r="8">
      <x:c r="A8" s="84" t="str"/>
      <x:c r="B8" s="84" t="str"/>
      <x:c r="C8" s="84" t="str"/>
      <x:c r="D8" s="84" t="str"/>
      <x:c r="E8" s="84" t="str"/>
      <x:c r="F8" s="84" t="str"/>
    </x:row>
    <x:row r="9">
      <x:c r="A9" s="84" t="str"/>
      <x:c r="B9" s="84" t="str"/>
      <x:c r="C9" s="84" t="str"/>
      <x:c r="D9" s="84" t="str"/>
      <x:c r="E9" s="84" t="str"/>
      <x:c r="F9" s="84" t="str"/>
    </x:row>
    <x:row r="10">
      <x:c r="A10" s="84" t="str"/>
      <x:c r="B10" s="84" t="str"/>
      <x:c r="C10" s="84" t="str"/>
      <x:c r="D10" s="84" t="str"/>
      <x:c r="E10" s="84" t="str"/>
      <x:c r="F10" s="84" t="str"/>
    </x:row>
    <x:row r="11">
      <x:c r="A11" s="84" t="str"/>
      <x:c r="B11" s="84" t="str"/>
      <x:c r="C11" s="84" t="str"/>
      <x:c r="D11" s="84" t="str"/>
      <x:c r="E11" s="84" t="str"/>
      <x:c r="F11" s="84" t="str"/>
    </x:row>
    <x:row r="12">
      <x:c r="A12" s="84" t="str"/>
      <x:c r="B12" s="84" t="str"/>
      <x:c r="C12" s="84" t="str"/>
      <x:c r="D12" s="84" t="str"/>
      <x:c r="E12" s="84" t="str"/>
      <x:c r="F12" s="84" t="str"/>
    </x:row>
    <x:row r="13">
      <x:c r="A13" s="84" t="str"/>
      <x:c r="B13" s="84" t="str"/>
      <x:c r="C13" s="84" t="str"/>
      <x:c r="D13" s="84" t="str"/>
      <x:c r="E13" s="84" t="str"/>
      <x:c r="F13" s="84" t="str"/>
    </x:row>
  </x:sheetData>
  <x:mergeCells>
    <x:mergeCell ref="A1:F2"/>
    <x:mergeCell ref="A3:F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8" t="str">
        <x:v>Evidence-Sufficiency Note</x:v>
      </x:c>
      <x:c r="B1" s="58"/>
      <x:c r="C1" s="58"/>
      <x:c r="D1" s="58"/>
      <x:c r="E1" s="58"/>
      <x:c r="F1" s="58"/>
      <x:c r="G1" s="58"/>
      <x:c r="H1" s="58"/>
    </x:row>
    <x:row r="2">
      <x:c r="A2" s="58"/>
      <x:c r="B2" s="58"/>
      <x:c r="C2" s="58"/>
      <x:c r="D2" s="58"/>
      <x:c r="E2" s="58"/>
      <x:c r="F2" s="58"/>
      <x:c r="G2" s="58"/>
      <x:c r="H2" s="58"/>
    </x:row>
    <x:row r="3">
      <x:c r="A3" s="64" t="str">
        <x:v>Write 150 to 200 words. Make a clear use-or-pause recommendation grounded in validated results.</x:v>
      </x:c>
      <x:c r="B3" s="64"/>
      <x:c r="C3" s="64"/>
      <x:c r="D3" s="64"/>
      <x:c r="E3" s="64"/>
      <x:c r="F3" s="64"/>
      <x:c r="G3" s="64"/>
      <x:c r="H3" s="64"/>
    </x:row>
    <x:row r="5">
      <x:c r="A5" s="140" t="str">
        <x:v>Please replace this text with your 150 to 200 word evidence-sufficiency note. Include a clear recommendation, at least three traceable numerical results, what the records can describe, what they cannot establish, the most important limitation, and no unsupported causal claim.</x:v>
      </x:c>
      <x:c r="B5" s="141"/>
      <x:c r="C5" s="141"/>
      <x:c r="D5" s="141"/>
      <x:c r="E5" s="141"/>
      <x:c r="F5" s="141"/>
      <x:c r="G5" s="141"/>
      <x:c r="H5" s="142"/>
    </x:row>
    <x:row r="6">
      <x:c r="A6" s="143"/>
      <x:c r="B6" s="144"/>
      <x:c r="C6" s="144"/>
      <x:c r="D6" s="144"/>
      <x:c r="E6" s="144"/>
      <x:c r="F6" s="144"/>
      <x:c r="G6" s="144"/>
      <x:c r="H6" s="145"/>
    </x:row>
    <x:row r="7">
      <x:c r="A7" s="143"/>
      <x:c r="B7" s="144"/>
      <x:c r="C7" s="144"/>
      <x:c r="D7" s="144"/>
      <x:c r="E7" s="144"/>
      <x:c r="F7" s="144"/>
      <x:c r="G7" s="144"/>
      <x:c r="H7" s="145"/>
    </x:row>
    <x:row r="8">
      <x:c r="A8" s="143"/>
      <x:c r="B8" s="144"/>
      <x:c r="C8" s="144"/>
      <x:c r="D8" s="144"/>
      <x:c r="E8" s="144"/>
      <x:c r="F8" s="144"/>
      <x:c r="G8" s="144"/>
      <x:c r="H8" s="145"/>
    </x:row>
    <x:row r="9">
      <x:c r="A9" s="143"/>
      <x:c r="B9" s="144"/>
      <x:c r="C9" s="144"/>
      <x:c r="D9" s="144"/>
      <x:c r="E9" s="144"/>
      <x:c r="F9" s="144"/>
      <x:c r="G9" s="144"/>
      <x:c r="H9" s="145"/>
    </x:row>
    <x:row r="10">
      <x:c r="A10" s="143"/>
      <x:c r="B10" s="144"/>
      <x:c r="C10" s="144"/>
      <x:c r="D10" s="144"/>
      <x:c r="E10" s="144"/>
      <x:c r="F10" s="144"/>
      <x:c r="G10" s="144"/>
      <x:c r="H10" s="145"/>
    </x:row>
    <x:row r="11">
      <x:c r="A11" s="143"/>
      <x:c r="B11" s="144"/>
      <x:c r="C11" s="144"/>
      <x:c r="D11" s="144"/>
      <x:c r="E11" s="144"/>
      <x:c r="F11" s="144"/>
      <x:c r="G11" s="144"/>
      <x:c r="H11" s="145"/>
    </x:row>
    <x:row r="12">
      <x:c r="A12" s="143"/>
      <x:c r="B12" s="144"/>
      <x:c r="C12" s="144"/>
      <x:c r="D12" s="144"/>
      <x:c r="E12" s="144"/>
      <x:c r="F12" s="144"/>
      <x:c r="G12" s="144"/>
      <x:c r="H12" s="145"/>
    </x:row>
    <x:row r="13">
      <x:c r="A13" s="146"/>
      <x:c r="B13" s="147"/>
      <x:c r="C13" s="147"/>
      <x:c r="D13" s="147"/>
      <x:c r="E13" s="147"/>
      <x:c r="F13" s="147"/>
      <x:c r="G13" s="147"/>
      <x:c r="H13" s="148"/>
    </x:row>
    <x:row r="15">
      <x:c r="A15" s="92" t="str">
        <x:v>Quality check: every number must map to the Memo Evidence Map and every parity row must show PASS before submission.</x:v>
      </x:c>
      <x:c r="B15" s="92"/>
      <x:c r="C15" s="92"/>
      <x:c r="D15" s="92"/>
      <x:c r="E15" s="92"/>
      <x:c r="F15" s="92"/>
      <x:c r="G15" s="92"/>
      <x:c r="H15" s="92"/>
    </x:row>
    <x:row r="16">
      <x:c r="A16" s="92"/>
      <x:c r="B16" s="92"/>
      <x:c r="C16" s="92"/>
      <x:c r="D16" s="92"/>
      <x:c r="E16" s="92"/>
      <x:c r="F16" s="92"/>
      <x:c r="G16" s="92"/>
      <x:c r="H16" s="92"/>
    </x:row>
    <x:row r="17">
      <x:c r="A17" s="92"/>
      <x:c r="B17" s="92"/>
      <x:c r="C17" s="92"/>
      <x:c r="D17" s="92"/>
      <x:c r="E17" s="92"/>
      <x:c r="F17" s="92"/>
      <x:c r="G17" s="92"/>
      <x:c r="H17" s="92"/>
    </x:row>
  </x:sheetData>
  <x:mergeCells>
    <x:mergeCell ref="A1:H2"/>
    <x:mergeCell ref="A3:H3"/>
    <x:mergeCell ref="A5:H13"/>
    <x:mergeCell ref="A15:H1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25" hidden="0" customWidth="1"/>
    <x:col min="4" max="4" width="14" hidden="0" customWidth="1"/>
    <x:col min="5" max="5" width="32" hidden="0" customWidth="1"/>
    <x:col min="6" max="6" width="27" hidden="0" customWidth="1"/>
    <x:col min="7" max="7" width="13" hidden="0" customWidth="1"/>
  </x:cols>
  <x:sheetData>
    <x:row r="1">
      <x:c r="A1" s="58" t="str">
        <x:v>Memo Evidence Map</x:v>
      </x:c>
      <x:c r="B1" s="58"/>
      <x:c r="C1" s="58"/>
      <x:c r="D1" s="58"/>
      <x:c r="E1" s="58"/>
      <x:c r="F1" s="58"/>
      <x:c r="G1" s="58"/>
    </x:row>
    <x:row r="2">
      <x:c r="A2" s="58"/>
      <x:c r="B2" s="58"/>
      <x:c r="C2" s="58"/>
      <x:c r="D2" s="58"/>
      <x:c r="E2" s="58"/>
      <x:c r="F2" s="58"/>
      <x:c r="G2" s="58"/>
    </x:row>
    <x:row r="3">
      <x:c r="A3" s="64" t="str">
        <x:v>Every numerical claim must point to a labeled workbook result or saved SPSS output.</x:v>
      </x:c>
      <x:c r="B3" s="64"/>
      <x:c r="C3" s="64"/>
      <x:c r="D3" s="64"/>
      <x:c r="E3" s="64"/>
      <x:c r="F3" s="64"/>
      <x:c r="G3" s="64"/>
    </x:row>
    <x:row r="5">
      <x:c r="A5" s="74" t="str">
        <x:v>Memo claim or number</x:v>
      </x:c>
      <x:c r="B5" s="74" t="str">
        <x:v>Variable</x:v>
      </x:c>
      <x:c r="C5" s="74" t="str">
        <x:v>Statistic</x:v>
      </x:c>
      <x:c r="D5" s="74" t="str">
        <x:v>Unit</x:v>
      </x:c>
      <x:c r="E5" s="74" t="str">
        <x:v>Workbook source</x:v>
      </x:c>
      <x:c r="F5" s="74" t="str">
        <x:v>SPSS source</x:v>
      </x:c>
      <x:c r="G5" s="74" t="str">
        <x:v>Verified?</x:v>
      </x:c>
    </x:row>
    <x:row r="6">
      <x:c r="A6" s="84" t="str"/>
      <x:c r="B6" s="84" t="str"/>
      <x:c r="C6" s="84" t="str"/>
      <x:c r="D6" s="84" t="str"/>
      <x:c r="E6" s="84" t="str"/>
      <x:c r="F6" s="84" t="str"/>
      <x:c r="G6" s="84" t="str"/>
    </x:row>
    <x:row r="7">
      <x:c r="A7" s="84" t="str"/>
      <x:c r="B7" s="84" t="str"/>
      <x:c r="C7" s="84" t="str"/>
      <x:c r="D7" s="84" t="str"/>
      <x:c r="E7" s="84" t="str"/>
      <x:c r="F7" s="84" t="str"/>
      <x:c r="G7" s="84" t="str"/>
    </x:row>
    <x:row r="8">
      <x:c r="A8" s="84" t="str"/>
      <x:c r="B8" s="84" t="str"/>
      <x:c r="C8" s="84" t="str"/>
      <x:c r="D8" s="84" t="str"/>
      <x:c r="E8" s="84" t="str"/>
      <x:c r="F8" s="84" t="str"/>
      <x:c r="G8" s="84" t="str"/>
    </x:row>
    <x:row r="9">
      <x:c r="A9" s="84" t="str"/>
      <x:c r="B9" s="84" t="str"/>
      <x:c r="C9" s="84" t="str"/>
      <x:c r="D9" s="84" t="str"/>
      <x:c r="E9" s="84" t="str"/>
      <x:c r="F9" s="84" t="str"/>
      <x:c r="G9" s="84" t="str"/>
    </x:row>
    <x:row r="10">
      <x:c r="A10" s="84" t="str"/>
      <x:c r="B10" s="84" t="str"/>
      <x:c r="C10" s="84" t="str"/>
      <x:c r="D10" s="84" t="str"/>
      <x:c r="E10" s="84" t="str"/>
      <x:c r="F10" s="84" t="str"/>
      <x:c r="G10" s="84" t="str"/>
    </x:row>
    <x:row r="11">
      <x:c r="A11" s="84" t="str"/>
      <x:c r="B11" s="84" t="str"/>
      <x:c r="C11" s="84" t="str"/>
      <x:c r="D11" s="84" t="str"/>
      <x:c r="E11" s="84" t="str"/>
      <x:c r="F11" s="84" t="str"/>
      <x:c r="G11" s="84" t="str"/>
    </x:row>
    <x:row r="12">
      <x:c r="A12" s="84" t="str"/>
      <x:c r="B12" s="84" t="str"/>
      <x:c r="C12" s="84" t="str"/>
      <x:c r="D12" s="84" t="str"/>
      <x:c r="E12" s="84" t="str"/>
      <x:c r="F12" s="84" t="str"/>
      <x:c r="G12" s="84" t="str"/>
    </x:row>
    <x:row r="13">
      <x:c r="A13" s="84" t="str"/>
      <x:c r="B13" s="84" t="str"/>
      <x:c r="C13" s="84" t="str"/>
      <x:c r="D13" s="84" t="str"/>
      <x:c r="E13" s="84" t="str"/>
      <x:c r="F13" s="84" t="str"/>
      <x:c r="G13" s="84" t="str"/>
    </x:row>
  </x:sheetData>
  <x:mergeCells>
    <x:mergeCell ref="A1:G2"/>
    <x:mergeCell ref="A3:G3"/>
  </x:mergeCells>
  <x:pageMargins left="0.7" right="0.7" top="0.75" bottom="0.75" header="0.3" footer="0.3"/>
</x:worksheet>
</file>