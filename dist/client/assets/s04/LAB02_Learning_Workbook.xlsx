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IN-CLASS_Lab Part A" sheetId="2" state="visible" r:id="rId2"/>
    <sheet xmlns:r="http://schemas.openxmlformats.org/officeDocument/2006/relationships" name="IN-CLASS_Lab Part B" sheetId="3" state="visible" r:id="rId3"/>
    <sheet xmlns:r="http://schemas.openxmlformats.org/officeDocument/2006/relationships" name="IN-CLASS_Lab Part C" sheetId="4" state="visible" r:id="rId4"/>
    <sheet xmlns:r="http://schemas.openxmlformats.org/officeDocument/2006/relationships" name="POST-CLASS_Part 1" sheetId="5" state="visible" r:id="rId5"/>
    <sheet xmlns:r="http://schemas.openxmlformats.org/officeDocument/2006/relationships" name="Data" sheetId="6" state="visible" r:id="rId6"/>
    <sheet xmlns:r="http://schemas.openxmlformats.org/officeDocument/2006/relationships" name="Data_Trials" sheetId="7" state="visible" r:id="rId7"/>
  </sheets>
  <definedNames>
    <definedName name="LabChoices_1">'Data'!$G$1:$G$4</definedName>
    <definedName name="LabChoices_2">'Data'!$H$1:$H$4</definedName>
    <definedName name="LabChoices_3">'Data'!$I$1:$I$4</definedName>
    <definedName name="_xlnm.Print_Area" localSheetId="0">'Start Here'!$A$1:$H$30</definedName>
    <definedName name="_xlnm.Print_Titles" localSheetId="1">'IN-CLASS_Lab Part A'!$1:$2</definedName>
    <definedName name="_xlnm.Print_Area" localSheetId="1">'IN-CLASS_Lab Part A'!$A$1:$H$62</definedName>
    <definedName name="_xlnm.Print_Titles" localSheetId="2">'IN-CLASS_Lab Part B'!$1:$2</definedName>
    <definedName name="_xlnm.Print_Area" localSheetId="2">'IN-CLASS_Lab Part B'!$A$1:$H$46</definedName>
    <definedName name="_xlnm.Print_Titles" localSheetId="3">'IN-CLASS_Lab Part C'!$1:$2</definedName>
    <definedName name="_xlnm.Print_Area" localSheetId="3">'IN-CLASS_Lab Part C'!$A$1:$H$1066</definedName>
    <definedName name="_xlnm.Print_Titles" localSheetId="4">'POST-CLASS_Part 1'!$1:$2</definedName>
    <definedName name="_xlnm.Print_Area" localSheetId="4">'POST-CLASS_Part 1'!$A$1:$H$1081</definedName>
    <definedName name="_xlnm.Print_Titles" localSheetId="5">'Data'!$1:$1</definedName>
    <definedName name="_xlnm.Print_Area" localSheetId="5">'Data'!$A$1:$E$1001</definedName>
    <definedName name="_xlnm.Print_Titles" localSheetId="6">'Data_Trials'!$1:$1</definedName>
    <definedName name="_xlnm.Print_Area" localSheetId="6">'Data_Trials'!$A$1:$D$1001</definedName>
  </definedNames>
  <calcPr calcId="124519" fullCalcOnLoad="1" forceFullCalc="1" calcMode="auto"/>
</workbook>
</file>

<file path=xl/styles.xml><?xml version="1.0" encoding="utf-8"?>
<styleSheet xmlns="http://schemas.openxmlformats.org/spreadsheetml/2006/main">
  <numFmts count="3">
    <numFmt numFmtId="164" formatCode="0.0%"/>
    <numFmt numFmtId="165" formatCode="$#,##0"/>
    <numFmt numFmtId="166" formatCode="0.0000"/>
  </numFmts>
  <fonts count="74">
    <font>
      <name val="Calibri"/>
      <family val="2"/>
      <color theme="1"/>
      <sz val="11"/>
      <scheme val="minor"/>
    </font>
    <font>
      <name val="Arial"/>
      <b val="1"/>
      <color rgb="0057068C"/>
      <sz val="17"/>
    </font>
    <font>
      <name val="Arial"/>
      <color rgb="00000000"/>
      <sz val="11"/>
    </font>
    <font>
      <name val="Arial"/>
      <i val="1"/>
      <color rgb="00777777"/>
      <sz val="11"/>
    </font>
    <font>
      <name val="Arial"/>
      <b val="1"/>
      <sz val="11"/>
    </font>
    <font>
      <name val="Arial"/>
      <sz val="11"/>
    </font>
    <font>
      <name val="Arial"/>
      <b val="1"/>
      <color rgb="0057068C"/>
      <sz val="20"/>
    </font>
    <font>
      <name val="Arial"/>
      <color rgb="00292334"/>
      <sz val="12"/>
    </font>
    <font>
      <name val="Arial"/>
      <b val="1"/>
      <color rgb="0057068C"/>
      <sz val="12"/>
    </font>
    <font>
      <name val="Arial"/>
      <i val="1"/>
      <color rgb="0066616C"/>
      <sz val="11"/>
    </font>
    <font>
      <name val="Arial"/>
      <color rgb="0057068C"/>
      <sz val="12"/>
    </font>
    <font>
      <sz val="11"/>
      <name val="Carlito"/>
    </font>
    <font>
      <sz val="12"/>
      <color rgb="FF292334"/>
      <name val="Arial"/>
    </font>
    <font>
      <b/>
      <sz val="20"/>
      <color rgb="FF57068C"/>
      <name val="Arial"/>
    </font>
    <font>
      <b/>
      <sz val="12"/>
      <color rgb="FF57068C"/>
      <name val="Arial"/>
    </font>
    <font>
      <i/>
      <sz val="11"/>
      <color rgb="FF66616C"/>
      <name val="Arial"/>
    </font>
    <font>
      <sz val="12"/>
      <color rgb="FF57068C"/>
      <name val="Arial"/>
    </font>
    <font>
      <sz val="11"/>
      <color rgb="FF37313D"/>
      <name val="Arial"/>
    </font>
    <font>
      <b/>
      <sz val="11"/>
      <color rgb="FF57068C"/>
      <name val="Arial"/>
    </font>
    <font>
      <sz val="11"/>
      <name val="Carlito"/>
    </font>
    <font>
      <sz val="12"/>
      <color rgb="FF292334"/>
      <name val="Arial"/>
    </font>
    <font>
      <b/>
      <sz val="20"/>
      <color rgb="FF57068C"/>
      <name val="Arial"/>
    </font>
    <font>
      <b/>
      <sz val="12"/>
      <color rgb="FF57068C"/>
      <name val="Arial"/>
    </font>
    <font>
      <i/>
      <sz val="11"/>
      <color rgb="FF66616C"/>
      <name val="Arial"/>
    </font>
    <font>
      <sz val="12"/>
      <color rgb="FF57068C"/>
      <name val="Arial"/>
    </font>
    <font>
      <sz val="11"/>
      <color rgb="FF37313D"/>
      <name val="Arial"/>
    </font>
    <font>
      <b/>
      <sz val="11"/>
      <color rgb="FF57068C"/>
      <name val="Arial"/>
    </font>
    <font>
      <sz val="11"/>
      <name val="Carlito"/>
    </font>
    <font>
      <sz val="12"/>
      <color rgb="FF292334"/>
      <name val="Arial"/>
    </font>
    <font>
      <b/>
      <sz val="20"/>
      <color rgb="FF57068C"/>
      <name val="Arial"/>
    </font>
    <font>
      <b/>
      <sz val="12"/>
      <color rgb="FF57068C"/>
      <name val="Arial"/>
    </font>
    <font>
      <i/>
      <sz val="11"/>
      <color rgb="FF66616C"/>
      <name val="Arial"/>
    </font>
    <font>
      <sz val="12"/>
      <color rgb="FF57068C"/>
      <name val="Arial"/>
    </font>
    <font>
      <sz val="11"/>
      <color rgb="FF37313D"/>
      <name val="Arial"/>
    </font>
    <font>
      <b/>
      <sz val="11"/>
      <color rgb="FF57068C"/>
      <name val="Arial"/>
    </font>
    <font>
      <sz val="11"/>
      <name val="Carlito"/>
    </font>
    <font>
      <sz val="12"/>
      <color rgb="FF292334"/>
      <name val="Arial"/>
    </font>
    <font>
      <b/>
      <sz val="20"/>
      <color rgb="FF57068C"/>
      <name val="Arial"/>
    </font>
    <font>
      <b/>
      <sz val="12"/>
      <color rgb="FF57068C"/>
      <name val="Arial"/>
    </font>
    <font>
      <i/>
      <sz val="11"/>
      <color rgb="FF66616C"/>
      <name val="Arial"/>
    </font>
    <font>
      <sz val="12"/>
      <color rgb="FF57068C"/>
      <name val="Arial"/>
    </font>
    <font>
      <sz val="11"/>
      <color rgb="FF37313D"/>
      <name val="Arial"/>
    </font>
    <font>
      <b/>
      <sz val="11"/>
      <color rgb="FF57068C"/>
      <name val="Arial"/>
    </font>
    <font>
      <sz val="11"/>
      <name val="Carlito"/>
    </font>
    <font>
      <sz val="12"/>
      <color rgb="FF292334"/>
      <name val="Arial"/>
    </font>
    <font>
      <b/>
      <sz val="20"/>
      <color rgb="FF57068C"/>
      <name val="Arial"/>
    </font>
    <font>
      <b/>
      <sz val="12"/>
      <color rgb="FF57068C"/>
      <name val="Arial"/>
    </font>
    <font>
      <i/>
      <sz val="11"/>
      <color rgb="FF66616C"/>
      <name val="Arial"/>
    </font>
    <font>
      <sz val="12"/>
      <color rgb="FF57068C"/>
      <name val="Arial"/>
    </font>
    <font>
      <sz val="11"/>
      <color rgb="FF37313D"/>
      <name val="Arial"/>
    </font>
    <font>
      <b/>
      <sz val="11"/>
      <color rgb="FF57068C"/>
      <name val="Arial"/>
    </font>
    <font>
      <sz val="11"/>
      <name val="Carlito"/>
    </font>
    <font>
      <sz val="12"/>
      <color rgb="FF292334"/>
      <name val="Arial"/>
    </font>
    <font>
      <b/>
      <sz val="20"/>
      <color rgb="FF57068C"/>
      <name val="Arial"/>
    </font>
    <font>
      <b/>
      <sz val="12"/>
      <color rgb="FF57068C"/>
      <name val="Arial"/>
    </font>
    <font>
      <i/>
      <sz val="11"/>
      <color rgb="FF66616C"/>
      <name val="Arial"/>
    </font>
    <font>
      <sz val="12"/>
      <color rgb="FF57068C"/>
      <name val="Arial"/>
    </font>
    <font>
      <sz val="11"/>
      <color rgb="FF37313D"/>
      <name val="Arial"/>
    </font>
    <font>
      <b/>
      <sz val="11"/>
      <color rgb="FF57068C"/>
      <name val="Arial"/>
    </font>
    <font>
      <sz val="11"/>
      <name val="Carlito"/>
    </font>
    <font>
      <sz val="12"/>
      <color rgb="FF292334"/>
      <name val="Arial"/>
    </font>
    <font>
      <b/>
      <sz val="20"/>
      <color rgb="FF57068C"/>
      <name val="Arial"/>
    </font>
    <font>
      <b/>
      <sz val="12"/>
      <color rgb="FF57068C"/>
      <name val="Arial"/>
    </font>
    <font>
      <i/>
      <sz val="11"/>
      <color rgb="FF66616C"/>
      <name val="Arial"/>
    </font>
    <font>
      <sz val="12"/>
      <color rgb="FF57068C"/>
      <name val="Arial"/>
    </font>
    <font>
      <sz val="11"/>
      <color rgb="FF37313D"/>
      <name val="Arial"/>
    </font>
    <font>
      <b/>
      <sz val="11"/>
      <color rgb="FF57068C"/>
      <name val="Arial"/>
    </font>
    <font>
      <b/>
      <name val="Arial"/>
      <sz val="15"/>
      <color rgb="FFFFFFFF"/>
    </font>
    <font>
      <name val="Arial"/>
      <sz val="11"/>
      <color rgb="FF57068C"/>
    </font>
    <font>
      <name val="Arial"/>
      <color rgb="00000000"/>
      <sz val="13"/>
    </font>
    <font>
      <b/>
      <name val="Arial"/>
      <sz val="11"/>
      <color rgb="FF1F7A4D"/>
    </font>
    <font>
      <b/>
      <name val="Arial"/>
      <color rgb="00000000"/>
      <sz val="11"/>
    </font>
    <font>
      <b/>
      <name val="Arial"/>
      <color rgb="00000000"/>
      <sz val="11"/>
    </font>
    <font>
      <b/>
      <name val="Arial"/>
      <sz val="11"/>
      <color rgb="FF9A4A00"/>
    </font>
  </fonts>
  <fills count="46">
    <fill>
      <patternFill/>
    </fill>
    <fill>
      <patternFill patternType="gray125"/>
    </fill>
    <fill>
      <patternFill patternType="solid">
        <fgColor rgb="00EDE7F6"/>
      </patternFill>
    </fill>
    <fill>
      <patternFill patternType="solid">
        <fgColor rgb="00FFF9DB"/>
      </patternFill>
    </fill>
    <fill>
      <patternFill patternType="solid">
        <fgColor rgb="00EDF4F7"/>
      </patternFill>
    </fill>
    <fill>
      <patternFill patternType="none"/>
    </fill>
    <fill>
      <patternFill patternType="gray125"/>
    </fill>
    <fill>
      <patternFill patternType="solid">
        <fgColor rgb="FFFFF9DB"/>
      </patternFill>
    </fill>
    <fill>
      <patternFill patternType="solid">
        <fgColor rgb="FFEDF4F7"/>
      </patternFill>
    </fill>
    <fill>
      <patternFill patternType="solid">
        <fgColor rgb="FFF5F2F8"/>
      </patternFill>
    </fill>
    <fill>
      <patternFill patternType="none"/>
    </fill>
    <fill>
      <patternFill patternType="gray125"/>
    </fill>
    <fill>
      <patternFill patternType="solid">
        <fgColor rgb="FFFFF9DB"/>
      </patternFill>
    </fill>
    <fill>
      <patternFill patternType="solid">
        <fgColor rgb="FFEDF4F7"/>
      </patternFill>
    </fill>
    <fill>
      <patternFill patternType="solid">
        <fgColor rgb="FFF5F2F8"/>
      </patternFill>
    </fill>
    <fill>
      <patternFill patternType="none"/>
    </fill>
    <fill>
      <patternFill patternType="gray125"/>
    </fill>
    <fill>
      <patternFill patternType="solid">
        <fgColor rgb="FFFFF9DB"/>
      </patternFill>
    </fill>
    <fill>
      <patternFill patternType="solid">
        <fgColor rgb="FFEDF4F7"/>
      </patternFill>
    </fill>
    <fill>
      <patternFill patternType="solid">
        <fgColor rgb="FFF5F2F8"/>
      </patternFill>
    </fill>
    <fill>
      <patternFill patternType="none"/>
    </fill>
    <fill>
      <patternFill patternType="gray125"/>
    </fill>
    <fill>
      <patternFill patternType="solid">
        <fgColor rgb="FFFFF9DB"/>
      </patternFill>
    </fill>
    <fill>
      <patternFill patternType="solid">
        <fgColor rgb="FFEDF4F7"/>
      </patternFill>
    </fill>
    <fill>
      <patternFill patternType="solid">
        <fgColor rgb="FFF5F2F8"/>
      </patternFill>
    </fill>
    <fill>
      <patternFill patternType="none"/>
    </fill>
    <fill>
      <patternFill patternType="gray125"/>
    </fill>
    <fill>
      <patternFill patternType="solid">
        <fgColor rgb="FFFFF9DB"/>
      </patternFill>
    </fill>
    <fill>
      <patternFill patternType="solid">
        <fgColor rgb="FFEDF4F7"/>
      </patternFill>
    </fill>
    <fill>
      <patternFill patternType="solid">
        <fgColor rgb="FFF5F2F8"/>
      </patternFill>
    </fill>
    <fill>
      <patternFill patternType="none"/>
    </fill>
    <fill>
      <patternFill patternType="gray125"/>
    </fill>
    <fill>
      <patternFill patternType="solid">
        <fgColor rgb="FFFFF9DB"/>
      </patternFill>
    </fill>
    <fill>
      <patternFill patternType="solid">
        <fgColor rgb="FFEDF4F7"/>
      </patternFill>
    </fill>
    <fill>
      <patternFill patternType="solid">
        <fgColor rgb="FFF5F2F8"/>
      </patternFill>
    </fill>
    <fill>
      <patternFill patternType="none"/>
    </fill>
    <fill>
      <patternFill patternType="gray125"/>
    </fill>
    <fill>
      <patternFill patternType="solid">
        <fgColor rgb="FFFFF9DB"/>
      </patternFill>
    </fill>
    <fill>
      <patternFill patternType="solid">
        <fgColor rgb="FFEDF4F7"/>
      </patternFill>
    </fill>
    <fill>
      <patternFill patternType="solid">
        <fgColor rgb="FFF5F2F8"/>
      </patternFill>
    </fill>
    <fill>
      <patternFill patternType="solid">
        <fgColor rgb="FF57068C"/>
        <bgColor indexed="64"/>
      </patternFill>
    </fill>
    <fill>
      <patternFill patternType="solid">
        <fgColor rgb="FFF3ECF9"/>
        <bgColor indexed="64"/>
      </patternFill>
    </fill>
    <fill>
      <patternFill patternType="solid">
        <fgColor rgb="FFFFFFFF"/>
        <bgColor indexed="64"/>
      </patternFill>
    </fill>
    <fill>
      <patternFill patternType="solid">
        <fgColor rgb="FFE3F3EA"/>
        <bgColor indexed="64"/>
      </patternFill>
    </fill>
    <fill>
      <patternFill patternType="solid">
        <fgColor rgb="FFFAF9FC"/>
        <bgColor indexed="64"/>
      </patternFill>
    </fill>
    <fill>
      <patternFill patternType="solid">
        <fgColor rgb="FFFFF1E3"/>
        <bgColor indexed="64"/>
      </patternFill>
    </fill>
  </fills>
  <borders count="105">
    <border>
      <left/>
      <right/>
      <top/>
      <bottom/>
      <diagonal/>
    </border>
    <border>
      <left style="thin">
        <color rgb="00CCCCCC"/>
      </left>
      <right style="thin">
        <color rgb="00CCCCCC"/>
      </right>
      <top style="thin">
        <color rgb="00CCCCCC"/>
      </top>
      <bottom style="thin">
        <color rgb="00CCCCCC"/>
      </bottom>
    </border>
    <border>
      <left style="thin">
        <color rgb="00CCCCCC"/>
      </left>
      <right/>
      <top style="thin">
        <color rgb="00CCCCCC"/>
      </top>
      <bottom style="thin">
        <color rgb="00CCCCCC"/>
      </bottom>
    </border>
    <border>
      <left/>
      <right/>
      <top style="thin">
        <color rgb="00CCCCCC"/>
      </top>
      <bottom style="thin">
        <color rgb="00CCCCCC"/>
      </bottom>
    </border>
    <border>
      <left/>
      <right style="thin">
        <color rgb="00CCCCCC"/>
      </right>
      <top style="thin">
        <color rgb="00CCCCCC"/>
      </top>
      <bottom style="thin">
        <color rgb="00CCCCCC"/>
      </bottom>
    </border>
    <border>
      <left style="thin">
        <color rgb="00CCCCCC"/>
      </left>
      <right/>
      <top style="thin">
        <color rgb="00CCCCCC"/>
      </top>
      <bottom/>
    </border>
    <border>
      <left/>
      <right/>
      <top style="thin">
        <color rgb="00CCCCCC"/>
      </top>
      <bottom/>
    </border>
    <border>
      <left/>
      <right style="thin">
        <color rgb="00CCCCCC"/>
      </right>
      <top style="thin">
        <color rgb="00CCCCCC"/>
      </top>
      <bottom/>
    </border>
    <border>
      <left style="thin">
        <color rgb="00CCCCCC"/>
      </left>
      <right/>
      <top/>
      <bottom/>
    </border>
    <border>
      <left/>
      <right/>
      <top/>
      <bottom/>
    </border>
    <border>
      <left/>
      <right style="thin">
        <color rgb="00CCCCCC"/>
      </right>
      <top/>
      <bottom/>
    </border>
    <border>
      <left style="thin">
        <color rgb="00CCCCCC"/>
      </left>
      <right/>
      <top/>
      <bottom style="thin">
        <color rgb="00CCCCCC"/>
      </bottom>
    </border>
    <border>
      <left/>
      <right/>
      <top/>
      <bottom style="thin">
        <color rgb="00CCCCCC"/>
      </bottom>
    </border>
    <border>
      <left/>
      <right style="thin">
        <color rgb="00CCCCCC"/>
      </right>
      <top/>
      <bottom style="thin">
        <color rgb="00CCCCCC"/>
      </bottom>
    </border>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top style="thin">
        <color rgb="FFCCCCCC"/>
      </top>
    </border>
    <border>
      <top style="thin">
        <color rgb="FFCCCCCC"/>
      </top>
    </border>
    <border>
      <right style="thin">
        <color rgb="FFCCCCCC"/>
      </right>
      <top style="thin">
        <color rgb="FFCCCCCC"/>
      </top>
    </border>
    <border>
      <left style="thin">
        <color rgb="FFCCCCCC"/>
      </left>
    </border>
    <border>
      <right style="thin">
        <color rgb="FFCCCCCC"/>
      </right>
    </border>
    <border>
      <left style="thin">
        <color rgb="FFCCCCCC"/>
      </left>
      <bottom style="thin">
        <color rgb="FFCCCCCC"/>
      </bottom>
    </border>
    <border>
      <bottom style="thin">
        <color rgb="FFCCCCCC"/>
      </bottom>
    </border>
    <border>
      <right style="thin">
        <color rgb="FFCCCCCC"/>
      </right>
      <bottom style="thin">
        <color rgb="FFCCCCCC"/>
      </bottom>
    </border>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top style="thin">
        <color rgb="FFCCCCCC"/>
      </top>
    </border>
    <border>
      <top style="thin">
        <color rgb="FFCCCCCC"/>
      </top>
    </border>
    <border>
      <right style="thin">
        <color rgb="FFCCCCCC"/>
      </right>
      <top style="thin">
        <color rgb="FFCCCCCC"/>
      </top>
    </border>
    <border>
      <left style="thin">
        <color rgb="FFCCCCCC"/>
      </left>
    </border>
    <border>
      <right style="thin">
        <color rgb="FFCCCCCC"/>
      </right>
    </border>
    <border>
      <left style="thin">
        <color rgb="FFCCCCCC"/>
      </left>
      <bottom style="thin">
        <color rgb="FFCCCCCC"/>
      </bottom>
    </border>
    <border>
      <bottom style="thin">
        <color rgb="FFCCCCCC"/>
      </bottom>
    </border>
    <border>
      <right style="thin">
        <color rgb="FFCCCCCC"/>
      </right>
      <bottom style="thin">
        <color rgb="FFCCCCCC"/>
      </bottom>
    </border>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top style="thin">
        <color rgb="FFCCCCCC"/>
      </top>
    </border>
    <border>
      <top style="thin">
        <color rgb="FFCCCCCC"/>
      </top>
    </border>
    <border>
      <right style="thin">
        <color rgb="FFCCCCCC"/>
      </right>
      <top style="thin">
        <color rgb="FFCCCCCC"/>
      </top>
    </border>
    <border>
      <left style="thin">
        <color rgb="FFCCCCCC"/>
      </left>
    </border>
    <border>
      <right style="thin">
        <color rgb="FFCCCCCC"/>
      </right>
    </border>
    <border>
      <left style="thin">
        <color rgb="FFCCCCCC"/>
      </left>
      <bottom style="thin">
        <color rgb="FFCCCCCC"/>
      </bottom>
    </border>
    <border>
      <bottom style="thin">
        <color rgb="FFCCCCCC"/>
      </bottom>
    </border>
    <border>
      <right style="thin">
        <color rgb="FFCCCCCC"/>
      </right>
      <bottom style="thin">
        <color rgb="FFCCCCCC"/>
      </bottom>
    </border>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top style="thin">
        <color rgb="FFCCCCCC"/>
      </top>
    </border>
    <border>
      <top style="thin">
        <color rgb="FFCCCCCC"/>
      </top>
    </border>
    <border>
      <right style="thin">
        <color rgb="FFCCCCCC"/>
      </right>
      <top style="thin">
        <color rgb="FFCCCCCC"/>
      </top>
    </border>
    <border>
      <left style="thin">
        <color rgb="FFCCCCCC"/>
      </left>
    </border>
    <border>
      <right style="thin">
        <color rgb="FFCCCCCC"/>
      </right>
    </border>
    <border>
      <left style="thin">
        <color rgb="FFCCCCCC"/>
      </left>
      <bottom style="thin">
        <color rgb="FFCCCCCC"/>
      </bottom>
    </border>
    <border>
      <bottom style="thin">
        <color rgb="FFCCCCCC"/>
      </bottom>
    </border>
    <border>
      <right style="thin">
        <color rgb="FFCCCCCC"/>
      </right>
      <bottom style="thin">
        <color rgb="FFCCCCCC"/>
      </bottom>
    </border>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top style="thin">
        <color rgb="FFCCCCCC"/>
      </top>
    </border>
    <border>
      <top style="thin">
        <color rgb="FFCCCCCC"/>
      </top>
    </border>
    <border>
      <right style="thin">
        <color rgb="FFCCCCCC"/>
      </right>
      <top style="thin">
        <color rgb="FFCCCCCC"/>
      </top>
    </border>
    <border>
      <left style="thin">
        <color rgb="FFCCCCCC"/>
      </left>
    </border>
    <border>
      <right style="thin">
        <color rgb="FFCCCCCC"/>
      </right>
    </border>
    <border>
      <left style="thin">
        <color rgb="FFCCCCCC"/>
      </left>
      <bottom style="thin">
        <color rgb="FFCCCCCC"/>
      </bottom>
    </border>
    <border>
      <bottom style="thin">
        <color rgb="FFCCCCCC"/>
      </bottom>
    </border>
    <border>
      <right style="thin">
        <color rgb="FFCCCCCC"/>
      </right>
      <bottom style="thin">
        <color rgb="FFCCCCCC"/>
      </bottom>
    </border>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top style="thin">
        <color rgb="FFCCCCCC"/>
      </top>
    </border>
    <border>
      <top style="thin">
        <color rgb="FFCCCCCC"/>
      </top>
    </border>
    <border>
      <right style="thin">
        <color rgb="FFCCCCCC"/>
      </right>
      <top style="thin">
        <color rgb="FFCCCCCC"/>
      </top>
    </border>
    <border>
      <left style="thin">
        <color rgb="FFCCCCCC"/>
      </left>
    </border>
    <border>
      <right style="thin">
        <color rgb="FFCCCCCC"/>
      </right>
    </border>
    <border>
      <left style="thin">
        <color rgb="FFCCCCCC"/>
      </left>
      <bottom style="thin">
        <color rgb="FFCCCCCC"/>
      </bottom>
    </border>
    <border>
      <bottom style="thin">
        <color rgb="FFCCCCCC"/>
      </bottom>
    </border>
    <border>
      <right style="thin">
        <color rgb="FFCCCCCC"/>
      </right>
      <bottom style="thin">
        <color rgb="FFCCCCCC"/>
      </bottom>
    </border>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top style="thin">
        <color rgb="FFCCCCCC"/>
      </top>
    </border>
    <border>
      <top style="thin">
        <color rgb="FFCCCCCC"/>
      </top>
    </border>
    <border>
      <right style="thin">
        <color rgb="FFCCCCCC"/>
      </right>
      <top style="thin">
        <color rgb="FFCCCCCC"/>
      </top>
    </border>
    <border>
      <left style="thin">
        <color rgb="FFCCCCCC"/>
      </left>
    </border>
    <border>
      <right style="thin">
        <color rgb="FFCCCCCC"/>
      </right>
    </border>
    <border>
      <left style="thin">
        <color rgb="FFCCCCCC"/>
      </left>
      <bottom style="thin">
        <color rgb="FFCCCCCC"/>
      </bottom>
    </border>
    <border>
      <bottom style="thin">
        <color rgb="FFCCCCCC"/>
      </bottom>
    </border>
    <border>
      <right style="thin">
        <color rgb="FFCCCCCC"/>
      </right>
      <bottom style="thin">
        <color rgb="FFCCCCCC"/>
      </bottom>
    </border>
  </borders>
  <cellStyleXfs count="1">
    <xf numFmtId="0" fontId="0" fillId="0" borderId="0"/>
  </cellStyleXfs>
  <cellXfs count="585">
    <xf numFmtId="0" fontId="0" fillId="0" borderId="0" pivotButton="0" quotePrefix="0" xfId="0"/>
    <xf numFmtId="0" fontId="6" fillId="0" borderId="0" applyAlignment="1" pivotButton="0" quotePrefix="0" xfId="0">
      <alignment vertical="center" wrapText="1"/>
    </xf>
    <xf numFmtId="0" fontId="7" fillId="0" borderId="0" applyAlignment="1" pivotButton="0" quotePrefix="0" xfId="0">
      <alignment vertical="center" wrapText="1"/>
    </xf>
    <xf numFmtId="0" fontId="8" fillId="0" borderId="0" applyAlignment="1" pivotButton="0" quotePrefix="0" xfId="0">
      <alignment vertical="center" wrapText="1"/>
    </xf>
    <xf numFmtId="0" fontId="7" fillId="3" borderId="1" applyAlignment="1" pivotButton="0" quotePrefix="0" xfId="0">
      <alignment vertical="center" wrapText="1"/>
    </xf>
    <xf numFmtId="0" fontId="9" fillId="0" borderId="0" applyAlignment="1" pivotButton="0" quotePrefix="0" xfId="0">
      <alignment vertical="center" wrapText="1"/>
    </xf>
    <xf numFmtId="0" fontId="7" fillId="4" borderId="0" applyAlignment="1" pivotButton="0" quotePrefix="0" xfId="0">
      <alignment vertical="center" wrapText="1"/>
    </xf>
    <xf numFmtId="0" fontId="10" fillId="0" borderId="0" applyAlignment="1" pivotButton="0" quotePrefix="0" xfId="0">
      <alignment vertical="center" wrapText="1"/>
    </xf>
    <xf numFmtId="0" fontId="1" fillId="0" borderId="0" applyAlignment="1" pivotButton="0" quotePrefix="0" xfId="0">
      <alignment vertical="center" wrapText="1"/>
    </xf>
    <xf numFmtId="0" fontId="2" fillId="0" borderId="0" applyAlignment="1" pivotButton="0" quotePrefix="0" xfId="0">
      <alignment vertical="center" wrapText="1"/>
    </xf>
    <xf numFmtId="0" fontId="2" fillId="2" borderId="0" applyAlignment="1" pivotButton="0" quotePrefix="0" xfId="0">
      <alignment vertical="center" wrapText="1"/>
    </xf>
    <xf numFmtId="1" fontId="2" fillId="3" borderId="1" applyAlignment="1" pivotButton="0" quotePrefix="0" xfId="0">
      <alignment vertical="center" wrapText="1"/>
    </xf>
    <xf numFmtId="0" fontId="4" fillId="4" borderId="0" applyAlignment="1" pivotButton="0" quotePrefix="0" xfId="0">
      <alignment vertical="center" wrapText="1"/>
    </xf>
    <xf numFmtId="0" fontId="0" fillId="0" borderId="0" applyAlignment="1" pivotButton="0" quotePrefix="0" xfId="0">
      <alignment vertical="center"/>
    </xf>
    <xf numFmtId="0" fontId="5" fillId="0" borderId="0" applyAlignment="1" pivotButton="0" quotePrefix="0" xfId="0">
      <alignment vertical="center" wrapText="1"/>
    </xf>
    <xf numFmtId="1" fontId="2" fillId="3" borderId="0" applyAlignment="1" pivotButton="0" quotePrefix="0" xfId="0">
      <alignment vertical="center" wrapText="1"/>
    </xf>
    <xf numFmtId="164" fontId="2" fillId="3" borderId="1" applyAlignment="1" pivotButton="0" quotePrefix="0" xfId="0">
      <alignment vertical="center" wrapText="1"/>
    </xf>
    <xf numFmtId="0" fontId="2" fillId="3" borderId="2" applyAlignment="1" pivotButton="0" quotePrefix="0" xfId="0">
      <alignment vertical="center" wrapText="1"/>
    </xf>
    <xf numFmtId="0" fontId="0" fillId="0" borderId="3" applyAlignment="1" pivotButton="0" quotePrefix="0" xfId="0">
      <alignment vertical="center"/>
    </xf>
    <xf numFmtId="0" fontId="0" fillId="0" borderId="4" applyAlignment="1" pivotButton="0" quotePrefix="0" xfId="0">
      <alignment vertical="center"/>
    </xf>
    <xf numFmtId="0" fontId="3" fillId="3" borderId="5" applyAlignment="1" pivotButton="0" quotePrefix="0" xfId="0">
      <alignment vertical="center" wrapText="1"/>
    </xf>
    <xf numFmtId="0" fontId="2" fillId="3" borderId="6" applyAlignment="1" pivotButton="0" quotePrefix="0" xfId="0">
      <alignment vertical="center" wrapText="1"/>
    </xf>
    <xf numFmtId="0" fontId="2" fillId="3" borderId="7" applyAlignment="1" pivotButton="0" quotePrefix="0" xfId="0">
      <alignment vertical="center" wrapText="1"/>
    </xf>
    <xf numFmtId="0" fontId="2" fillId="3" borderId="8" applyAlignment="1" pivotButton="0" quotePrefix="0" xfId="0">
      <alignment vertical="center" wrapText="1"/>
    </xf>
    <xf numFmtId="0" fontId="2" fillId="3" borderId="9" applyAlignment="1" pivotButton="0" quotePrefix="0" xfId="0">
      <alignment vertical="center" wrapText="1"/>
    </xf>
    <xf numFmtId="0" fontId="2" fillId="3" borderId="10" applyAlignment="1" pivotButton="0" quotePrefix="0" xfId="0">
      <alignment vertical="center" wrapText="1"/>
    </xf>
    <xf numFmtId="0" fontId="2" fillId="3" borderId="11" applyAlignment="1" pivotButton="0" quotePrefix="0" xfId="0">
      <alignment vertical="center" wrapText="1"/>
    </xf>
    <xf numFmtId="0" fontId="2" fillId="3" borderId="12" applyAlignment="1" pivotButton="0" quotePrefix="0" xfId="0">
      <alignment vertical="center" wrapText="1"/>
    </xf>
    <xf numFmtId="0" fontId="2" fillId="3" borderId="13" applyAlignment="1" pivotButton="0" quotePrefix="0" xfId="0">
      <alignment vertical="center" wrapText="1"/>
    </xf>
    <xf numFmtId="2" fontId="2" fillId="3" borderId="1" applyAlignment="1" pivotButton="0" quotePrefix="0" xfId="0">
      <alignment vertical="center" wrapText="1"/>
    </xf>
    <xf numFmtId="1" fontId="2" fillId="2" borderId="0" applyAlignment="1" pivotButton="0" quotePrefix="0" xfId="0">
      <alignment vertical="center" wrapText="1"/>
    </xf>
    <xf numFmtId="165" fontId="2" fillId="2" borderId="0" applyAlignment="1" pivotButton="0" quotePrefix="0" xfId="0">
      <alignment vertical="center" wrapText="1"/>
    </xf>
    <xf numFmtId="165" fontId="2" fillId="3" borderId="1" applyAlignment="1" pivotButton="0" quotePrefix="0" xfId="0">
      <alignment vertical="center" wrapText="1"/>
    </xf>
    <xf numFmtId="165" fontId="2" fillId="3" borderId="0" applyAlignment="1" pivotButton="0" quotePrefix="0" xfId="0">
      <alignment vertical="center" wrapText="1"/>
    </xf>
    <xf numFmtId="164" fontId="2" fillId="2" borderId="0" applyAlignment="1" pivotButton="0" quotePrefix="0" xfId="0">
      <alignment vertical="center" wrapText="1"/>
    </xf>
    <xf numFmtId="166" fontId="2" fillId="3" borderId="1" applyAlignment="1" pivotButton="0" quotePrefix="0" xfId="0">
      <alignment vertical="center" wrapText="1"/>
    </xf>
    <xf numFmtId="166" fontId="2" fillId="3" borderId="0" applyAlignment="1" pivotButton="0" quotePrefix="0" xfId="0">
      <alignment vertical="center" wrapText="1"/>
    </xf>
    <xf numFmtId="0" fontId="0" fillId="0" borderId="0" applyAlignment="1" pivotButton="0" quotePrefix="0" xfId="0">
      <alignment vertical="top" wrapText="1"/>
    </xf>
    <xf numFmtId="0" fontId="11" fillId="5" borderId="14" xfId="0"/>
    <xf numFmtId="0" fontId="12" fillId="5" borderId="14" xfId="0" applyNumberFormat="1" applyFont="1" applyFill="1" applyBorder="1"/>
    <xf numFmtId="0" fontId="12" fillId="5" borderId="14" xfId="0" applyNumberFormat="1" applyFont="1" applyFill="1" applyBorder="1" applyAlignment="1">
      <alignment wrapText="1"/>
    </xf>
    <xf numFmtId="0" fontId="12" fillId="5" borderId="14" xfId="0" applyNumberFormat="1" applyFont="1" applyFill="1" applyBorder="1" applyAlignment="1">
      <alignment vertical="center" wrapText="1"/>
    </xf>
    <xf numFmtId="0" fontId="13" fillId="5" borderId="14" xfId="0" applyNumberFormat="1" applyFont="1" applyFill="1" applyBorder="1" applyAlignment="1">
      <alignment vertical="center" wrapText="1"/>
    </xf>
    <xf numFmtId="0" fontId="14" fillId="5" borderId="14" xfId="0" applyNumberFormat="1" applyFont="1" applyFill="1" applyBorder="1" applyAlignment="1">
      <alignment vertical="center" wrapText="1"/>
    </xf>
    <xf numFmtId="0" fontId="12" fillId="7" borderId="14" xfId="0" applyNumberFormat="1" applyFont="1" applyFill="1" applyBorder="1" applyAlignment="1">
      <alignment vertical="center" wrapText="1"/>
    </xf>
    <xf numFmtId="0" fontId="12" fillId="7" borderId="15" xfId="0" applyNumberFormat="1" applyFont="1" applyFill="1" applyBorder="1" applyAlignment="1">
      <alignment vertical="center" wrapText="1"/>
    </xf>
    <xf numFmtId="0" fontId="12" fillId="7" borderId="16" xfId="0" applyNumberFormat="1" applyFont="1" applyFill="1" applyBorder="1" applyAlignment="1">
      <alignment vertical="center" wrapText="1"/>
    </xf>
    <xf numFmtId="0" fontId="12" fillId="7" borderId="17" xfId="0" applyNumberFormat="1" applyFont="1" applyFill="1" applyBorder="1" applyAlignment="1">
      <alignment vertical="center" wrapText="1"/>
    </xf>
    <xf numFmtId="0" fontId="15" fillId="5" borderId="14" xfId="0" applyNumberFormat="1" applyFont="1" applyFill="1" applyBorder="1" applyAlignment="1">
      <alignment vertical="center" wrapText="1"/>
    </xf>
    <xf numFmtId="0" fontId="12" fillId="8" borderId="14" xfId="0" applyNumberFormat="1" applyFont="1" applyFill="1" applyBorder="1" applyAlignment="1">
      <alignment vertical="center" wrapText="1"/>
    </xf>
    <xf numFmtId="0" fontId="16" fillId="5" borderId="14" xfId="0" applyNumberFormat="1" applyFont="1" applyFill="1" applyBorder="1" applyAlignment="1">
      <alignment vertical="center" wrapText="1"/>
    </xf>
    <xf numFmtId="0" fontId="17" fillId="5" borderId="14" xfId="0" applyNumberFormat="1" applyFont="1" applyFill="1" applyBorder="1"/>
    <xf numFmtId="0" fontId="17" fillId="5" borderId="14" xfId="0" applyNumberFormat="1" applyFont="1" applyFill="1" applyBorder="1" applyAlignment="1">
      <alignment wrapText="1"/>
    </xf>
    <xf numFmtId="0" fontId="17" fillId="5" borderId="14" xfId="0" applyNumberFormat="1" applyFont="1" applyFill="1" applyBorder="1" applyAlignment="1">
      <alignment vertical="center" wrapText="1"/>
    </xf>
    <xf numFmtId="0" fontId="18" fillId="5" borderId="14" xfId="0" applyNumberFormat="1" applyFont="1" applyFill="1" applyBorder="1" applyAlignment="1">
      <alignment vertical="center" wrapText="1"/>
    </xf>
    <xf numFmtId="0" fontId="11" fillId="5" borderId="18" xfId="0" applyNumberFormat="1" applyFont="1" applyFill="1" applyBorder="1"/>
    <xf numFmtId="0" fontId="11" fillId="5" borderId="15" xfId="0" applyNumberFormat="1" applyFont="1" applyFill="1" applyBorder="1"/>
    <xf numFmtId="0" fontId="11" fillId="5" borderId="16" xfId="0" applyNumberFormat="1" applyFont="1" applyFill="1" applyBorder="1"/>
    <xf numFmtId="0" fontId="11" fillId="5" borderId="17" xfId="0" applyNumberFormat="1" applyFont="1" applyFill="1" applyBorder="1"/>
    <xf numFmtId="0" fontId="11" fillId="5" borderId="19" xfId="0" applyNumberFormat="1" applyFont="1" applyFill="1" applyBorder="1"/>
    <xf numFmtId="0" fontId="11" fillId="5" borderId="20" xfId="0" applyNumberFormat="1" applyFont="1" applyFill="1" applyBorder="1"/>
    <xf numFmtId="0" fontId="11" fillId="5" borderId="21" xfId="0" applyNumberFormat="1" applyFont="1" applyFill="1" applyBorder="1"/>
    <xf numFmtId="0" fontId="11" fillId="5" borderId="22" xfId="0" applyNumberFormat="1" applyFont="1" applyFill="1" applyBorder="1"/>
    <xf numFmtId="0" fontId="11" fillId="5" borderId="14" xfId="0" applyNumberFormat="1" applyFont="1" applyFill="1" applyBorder="1"/>
    <xf numFmtId="0" fontId="11" fillId="5" borderId="23" xfId="0" applyNumberFormat="1" applyFont="1" applyFill="1" applyBorder="1"/>
    <xf numFmtId="0" fontId="11" fillId="5" borderId="24" xfId="0" applyNumberFormat="1" applyFont="1" applyFill="1" applyBorder="1"/>
    <xf numFmtId="0" fontId="11" fillId="5" borderId="25" xfId="0" applyNumberFormat="1" applyFont="1" applyFill="1" applyBorder="1"/>
    <xf numFmtId="0" fontId="11" fillId="5" borderId="26" xfId="0" applyNumberFormat="1" applyFont="1" applyFill="1" applyBorder="1"/>
    <xf numFmtId="0" fontId="17" fillId="9" borderId="14" xfId="0" applyNumberFormat="1" applyFont="1" applyFill="1" applyBorder="1" applyAlignment="1">
      <alignment vertical="center" wrapText="1"/>
    </xf>
    <xf numFmtId="0" fontId="11" fillId="9" borderId="14" xfId="0" applyNumberFormat="1" applyFont="1" applyFill="1" applyBorder="1"/>
    <xf numFmtId="0" fontId="1" fillId="0" borderId="0" applyAlignment="1" pivotButton="0" quotePrefix="0" xfId="0">
      <alignment vertical="center" wrapText="1"/>
    </xf>
    <xf numFmtId="0" fontId="2" fillId="0" borderId="0" applyAlignment="1" pivotButton="0" quotePrefix="0" xfId="0">
      <alignment vertical="center" wrapText="1"/>
    </xf>
    <xf numFmtId="0" fontId="2" fillId="2" borderId="0" applyAlignment="1" pivotButton="0" quotePrefix="0" xfId="0">
      <alignment vertical="center" wrapText="1"/>
    </xf>
    <xf numFmtId="1" fontId="2" fillId="3" borderId="1" applyAlignment="1" pivotButton="0" quotePrefix="0" xfId="0">
      <alignment vertical="center" wrapText="1"/>
    </xf>
    <xf numFmtId="0" fontId="4" fillId="4" borderId="0" applyAlignment="1" pivotButton="0" quotePrefix="0" xfId="0">
      <alignment vertical="center" wrapText="1"/>
    </xf>
    <xf numFmtId="0" fontId="0" fillId="0" borderId="0" applyAlignment="1" pivotButton="0" quotePrefix="0" xfId="0">
      <alignment vertical="center"/>
    </xf>
    <xf numFmtId="0" fontId="5" fillId="0" borderId="0" applyAlignment="1" pivotButton="0" quotePrefix="0" xfId="0">
      <alignment vertical="center" wrapText="1"/>
    </xf>
    <xf numFmtId="1" fontId="2" fillId="3" borderId="0" applyAlignment="1" pivotButton="0" quotePrefix="0" xfId="0">
      <alignment vertical="center" wrapText="1"/>
    </xf>
    <xf numFmtId="164" fontId="2" fillId="3" borderId="1" applyAlignment="1" pivotButton="0" quotePrefix="0" xfId="0">
      <alignment vertical="center" wrapText="1"/>
    </xf>
    <xf numFmtId="0" fontId="2" fillId="3" borderId="2" applyAlignment="1" pivotButton="0" quotePrefix="0" xfId="0">
      <alignment vertical="center" wrapText="1"/>
    </xf>
    <xf numFmtId="0" fontId="0" fillId="0" borderId="3" applyAlignment="1" pivotButton="0" quotePrefix="0" xfId="0">
      <alignment vertical="center"/>
    </xf>
    <xf numFmtId="0" fontId="0" fillId="0" borderId="4" applyAlignment="1" pivotButton="0" quotePrefix="0" xfId="0">
      <alignment vertical="center"/>
    </xf>
    <xf numFmtId="0" fontId="3" fillId="3" borderId="5" applyAlignment="1" pivotButton="0" quotePrefix="0" xfId="0">
      <alignment vertical="center" wrapText="1"/>
    </xf>
    <xf numFmtId="0" fontId="2" fillId="3" borderId="6" applyAlignment="1" pivotButton="0" quotePrefix="0" xfId="0">
      <alignment vertical="center" wrapText="1"/>
    </xf>
    <xf numFmtId="0" fontId="2" fillId="3" borderId="7" applyAlignment="1" pivotButton="0" quotePrefix="0" xfId="0">
      <alignment vertical="center" wrapText="1"/>
    </xf>
    <xf numFmtId="0" fontId="2" fillId="3" borderId="8" applyAlignment="1" pivotButton="0" quotePrefix="0" xfId="0">
      <alignment vertical="center" wrapText="1"/>
    </xf>
    <xf numFmtId="0" fontId="2" fillId="3" borderId="9" applyAlignment="1" pivotButton="0" quotePrefix="0" xfId="0">
      <alignment vertical="center" wrapText="1"/>
    </xf>
    <xf numFmtId="0" fontId="2" fillId="3" borderId="10" applyAlignment="1" pivotButton="0" quotePrefix="0" xfId="0">
      <alignment vertical="center" wrapText="1"/>
    </xf>
    <xf numFmtId="0" fontId="2" fillId="3" borderId="11" applyAlignment="1" pivotButton="0" quotePrefix="0" xfId="0">
      <alignment vertical="center" wrapText="1"/>
    </xf>
    <xf numFmtId="0" fontId="2" fillId="3" borderId="12" applyAlignment="1" pivotButton="0" quotePrefix="0" xfId="0">
      <alignment vertical="center" wrapText="1"/>
    </xf>
    <xf numFmtId="0" fontId="2" fillId="3" borderId="13" applyAlignment="1" pivotButton="0" quotePrefix="0" xfId="0">
      <alignment vertical="center" wrapText="1"/>
    </xf>
    <xf numFmtId="1" fontId="2" fillId="3" borderId="18" applyAlignment="1" pivotButton="0" quotePrefix="0" xfId="0">
      <alignment vertical="center" wrapText="1"/>
    </xf>
    <xf numFmtId="164" fontId="2" fillId="3" borderId="18" applyAlignment="1" pivotButton="0" quotePrefix="0" xfId="0">
      <alignment vertical="center" wrapText="1"/>
    </xf>
    <xf numFmtId="0" fontId="2" fillId="3" borderId="15" applyAlignment="1" pivotButton="0" quotePrefix="0" xfId="0">
      <alignment vertical="center" wrapText="1"/>
    </xf>
    <xf numFmtId="0" fontId="0" fillId="0" borderId="16" applyAlignment="1" pivotButton="0" quotePrefix="0" xfId="0">
      <alignment vertical="center"/>
    </xf>
    <xf numFmtId="0" fontId="0" fillId="0" borderId="17" applyAlignment="1" pivotButton="0" quotePrefix="0" xfId="0">
      <alignment vertical="center"/>
    </xf>
    <xf numFmtId="0" fontId="3" fillId="3" borderId="19" applyAlignment="1" pivotButton="0" quotePrefix="0" xfId="0">
      <alignment vertical="center" wrapText="1"/>
    </xf>
    <xf numFmtId="0" fontId="2" fillId="3" borderId="20" applyAlignment="1" pivotButton="0" quotePrefix="0" xfId="0">
      <alignment vertical="center" wrapText="1"/>
    </xf>
    <xf numFmtId="0" fontId="2" fillId="3" borderId="21" applyAlignment="1" pivotButton="0" quotePrefix="0" xfId="0">
      <alignment vertical="center" wrapText="1"/>
    </xf>
    <xf numFmtId="0" fontId="2" fillId="3" borderId="22" applyAlignment="1" pivotButton="0" quotePrefix="0" xfId="0">
      <alignment vertical="center" wrapText="1"/>
    </xf>
    <xf numFmtId="0" fontId="2" fillId="3" borderId="23" applyAlignment="1" pivotButton="0" quotePrefix="0" xfId="0">
      <alignment vertical="center" wrapText="1"/>
    </xf>
    <xf numFmtId="0" fontId="2" fillId="3" borderId="24" applyAlignment="1" pivotButton="0" quotePrefix="0" xfId="0">
      <alignment vertical="center" wrapText="1"/>
    </xf>
    <xf numFmtId="0" fontId="2" fillId="3" borderId="25" applyAlignment="1" pivotButton="0" quotePrefix="0" xfId="0">
      <alignment vertical="center" wrapText="1"/>
    </xf>
    <xf numFmtId="0" fontId="2" fillId="3" borderId="26" applyAlignment="1" pivotButton="0" quotePrefix="0" xfId="0">
      <alignment vertical="center" wrapText="1"/>
    </xf>
    <xf numFmtId="2" fontId="2" fillId="3" borderId="1" applyAlignment="1" pivotButton="0" quotePrefix="0" xfId="0">
      <alignment vertical="center" wrapText="1"/>
    </xf>
    <xf numFmtId="2" fontId="2" fillId="3" borderId="18" applyAlignment="1" pivotButton="0" quotePrefix="0" xfId="0">
      <alignment vertical="center" wrapText="1"/>
    </xf>
    <xf numFmtId="1" fontId="2" fillId="2" borderId="0" applyAlignment="1" pivotButton="0" quotePrefix="0" xfId="0">
      <alignment vertical="center" wrapText="1"/>
    </xf>
    <xf numFmtId="165" fontId="2" fillId="2" borderId="0" applyAlignment="1" pivotButton="0" quotePrefix="0" xfId="0">
      <alignment vertical="center" wrapText="1"/>
    </xf>
    <xf numFmtId="165" fontId="2" fillId="3" borderId="1" applyAlignment="1" pivotButton="0" quotePrefix="0" xfId="0">
      <alignment vertical="center" wrapText="1"/>
    </xf>
    <xf numFmtId="165" fontId="2" fillId="3" borderId="0" applyAlignment="1" pivotButton="0" quotePrefix="0" xfId="0">
      <alignment vertical="center" wrapText="1"/>
    </xf>
    <xf numFmtId="165" fontId="2" fillId="3" borderId="18" applyAlignment="1" pivotButton="0" quotePrefix="0" xfId="0">
      <alignment vertical="center" wrapText="1"/>
    </xf>
    <xf numFmtId="164" fontId="2" fillId="2" borderId="0" applyAlignment="1" pivotButton="0" quotePrefix="0" xfId="0">
      <alignment vertical="center" wrapText="1"/>
    </xf>
    <xf numFmtId="166" fontId="2" fillId="3" borderId="1" applyAlignment="1" pivotButton="0" quotePrefix="0" xfId="0">
      <alignment vertical="center" wrapText="1"/>
    </xf>
    <xf numFmtId="166" fontId="2" fillId="3" borderId="0" applyAlignment="1" pivotButton="0" quotePrefix="0" xfId="0">
      <alignment vertical="center" wrapText="1"/>
    </xf>
    <xf numFmtId="166" fontId="2" fillId="3" borderId="18" applyAlignment="1" pivotButton="0" quotePrefix="0" xfId="0">
      <alignment vertical="center" wrapText="1"/>
    </xf>
    <xf numFmtId="0" fontId="19" fillId="10" borderId="27" xfId="0"/>
    <xf numFmtId="0" fontId="20" fillId="10" borderId="27" xfId="0" applyNumberFormat="1" applyFont="1" applyFill="1" applyBorder="1"/>
    <xf numFmtId="0" fontId="20" fillId="10" borderId="27" xfId="0" applyNumberFormat="1" applyFont="1" applyFill="1" applyBorder="1" applyAlignment="1">
      <alignment wrapText="1"/>
    </xf>
    <xf numFmtId="0" fontId="20" fillId="10" borderId="27" xfId="0" applyNumberFormat="1" applyFont="1" applyFill="1" applyBorder="1" applyAlignment="1">
      <alignment vertical="center" wrapText="1"/>
    </xf>
    <xf numFmtId="0" fontId="21" fillId="10" borderId="27" xfId="0" applyNumberFormat="1" applyFont="1" applyFill="1" applyBorder="1" applyAlignment="1">
      <alignment vertical="center" wrapText="1"/>
    </xf>
    <xf numFmtId="0" fontId="22" fillId="10" borderId="27" xfId="0" applyNumberFormat="1" applyFont="1" applyFill="1" applyBorder="1" applyAlignment="1">
      <alignment vertical="center" wrapText="1"/>
    </xf>
    <xf numFmtId="0" fontId="20" fillId="12" borderId="27" xfId="0" applyNumberFormat="1" applyFont="1" applyFill="1" applyBorder="1" applyAlignment="1">
      <alignment vertical="center" wrapText="1"/>
    </xf>
    <xf numFmtId="0" fontId="20" fillId="12" borderId="28" xfId="0" applyNumberFormat="1" applyFont="1" applyFill="1" applyBorder="1" applyAlignment="1">
      <alignment vertical="center" wrapText="1"/>
    </xf>
    <xf numFmtId="0" fontId="20" fillId="12" borderId="29" xfId="0" applyNumberFormat="1" applyFont="1" applyFill="1" applyBorder="1" applyAlignment="1">
      <alignment vertical="center" wrapText="1"/>
    </xf>
    <xf numFmtId="0" fontId="20" fillId="12" borderId="30" xfId="0" applyNumberFormat="1" applyFont="1" applyFill="1" applyBorder="1" applyAlignment="1">
      <alignment vertical="center" wrapText="1"/>
    </xf>
    <xf numFmtId="0" fontId="23" fillId="10" borderId="27" xfId="0" applyNumberFormat="1" applyFont="1" applyFill="1" applyBorder="1" applyAlignment="1">
      <alignment vertical="center" wrapText="1"/>
    </xf>
    <xf numFmtId="0" fontId="20" fillId="13" borderId="27" xfId="0" applyNumberFormat="1" applyFont="1" applyFill="1" applyBorder="1" applyAlignment="1">
      <alignment vertical="center" wrapText="1"/>
    </xf>
    <xf numFmtId="0" fontId="24" fillId="10" borderId="27" xfId="0" applyNumberFormat="1" applyFont="1" applyFill="1" applyBorder="1" applyAlignment="1">
      <alignment vertical="center" wrapText="1"/>
    </xf>
    <xf numFmtId="0" fontId="25" fillId="10" borderId="27" xfId="0" applyNumberFormat="1" applyFont="1" applyFill="1" applyBorder="1"/>
    <xf numFmtId="0" fontId="25" fillId="10" borderId="27" xfId="0" applyNumberFormat="1" applyFont="1" applyFill="1" applyBorder="1" applyAlignment="1">
      <alignment wrapText="1"/>
    </xf>
    <xf numFmtId="0" fontId="25" fillId="10" borderId="27" xfId="0" applyNumberFormat="1" applyFont="1" applyFill="1" applyBorder="1" applyAlignment="1">
      <alignment vertical="center" wrapText="1"/>
    </xf>
    <xf numFmtId="0" fontId="26" fillId="10" borderId="27" xfId="0" applyNumberFormat="1" applyFont="1" applyFill="1" applyBorder="1" applyAlignment="1">
      <alignment vertical="center" wrapText="1"/>
    </xf>
    <xf numFmtId="0" fontId="19" fillId="10" borderId="31" xfId="0" applyNumberFormat="1" applyFont="1" applyFill="1" applyBorder="1"/>
    <xf numFmtId="0" fontId="19" fillId="10" borderId="28" xfId="0" applyNumberFormat="1" applyFont="1" applyFill="1" applyBorder="1"/>
    <xf numFmtId="0" fontId="19" fillId="10" borderId="29" xfId="0" applyNumberFormat="1" applyFont="1" applyFill="1" applyBorder="1"/>
    <xf numFmtId="0" fontId="19" fillId="10" borderId="30" xfId="0" applyNumberFormat="1" applyFont="1" applyFill="1" applyBorder="1"/>
    <xf numFmtId="0" fontId="19" fillId="10" borderId="32" xfId="0" applyNumberFormat="1" applyFont="1" applyFill="1" applyBorder="1"/>
    <xf numFmtId="0" fontId="19" fillId="10" borderId="33" xfId="0" applyNumberFormat="1" applyFont="1" applyFill="1" applyBorder="1"/>
    <xf numFmtId="0" fontId="19" fillId="10" borderId="34" xfId="0" applyNumberFormat="1" applyFont="1" applyFill="1" applyBorder="1"/>
    <xf numFmtId="0" fontId="19" fillId="10" borderId="35" xfId="0" applyNumberFormat="1" applyFont="1" applyFill="1" applyBorder="1"/>
    <xf numFmtId="0" fontId="19" fillId="10" borderId="27" xfId="0" applyNumberFormat="1" applyFont="1" applyFill="1" applyBorder="1"/>
    <xf numFmtId="0" fontId="19" fillId="10" borderId="36" xfId="0" applyNumberFormat="1" applyFont="1" applyFill="1" applyBorder="1"/>
    <xf numFmtId="0" fontId="19" fillId="10" borderId="37" xfId="0" applyNumberFormat="1" applyFont="1" applyFill="1" applyBorder="1"/>
    <xf numFmtId="0" fontId="19" fillId="10" borderId="38" xfId="0" applyNumberFormat="1" applyFont="1" applyFill="1" applyBorder="1"/>
    <xf numFmtId="0" fontId="19" fillId="10" borderId="39" xfId="0" applyNumberFormat="1" applyFont="1" applyFill="1" applyBorder="1"/>
    <xf numFmtId="0" fontId="25" fillId="14" borderId="27" xfId="0" applyNumberFormat="1" applyFont="1" applyFill="1" applyBorder="1" applyAlignment="1">
      <alignment vertical="center" wrapText="1"/>
    </xf>
    <xf numFmtId="0" fontId="19" fillId="14" borderId="27" xfId="0" applyNumberFormat="1" applyFont="1" applyFill="1" applyBorder="1"/>
    <xf numFmtId="0" fontId="1" fillId="0" borderId="0" applyAlignment="1" pivotButton="0" quotePrefix="0" xfId="0">
      <alignment vertical="center" wrapText="1"/>
    </xf>
    <xf numFmtId="0" fontId="2" fillId="0" borderId="0" applyAlignment="1" pivotButton="0" quotePrefix="0" xfId="0">
      <alignment vertical="center" wrapText="1"/>
    </xf>
    <xf numFmtId="0" fontId="2" fillId="2" borderId="0" applyAlignment="1" pivotButton="0" quotePrefix="0" xfId="0">
      <alignment vertical="center" wrapText="1"/>
    </xf>
    <xf numFmtId="1" fontId="2" fillId="3" borderId="18" applyAlignment="1" pivotButton="0" quotePrefix="0" xfId="0">
      <alignment vertical="center" wrapText="1"/>
    </xf>
    <xf numFmtId="0" fontId="4" fillId="4" borderId="0" applyAlignment="1" pivotButton="0" quotePrefix="0" xfId="0">
      <alignment vertical="center" wrapText="1"/>
    </xf>
    <xf numFmtId="0" fontId="0" fillId="0" borderId="0" applyAlignment="1" pivotButton="0" quotePrefix="0" xfId="0">
      <alignment vertical="center"/>
    </xf>
    <xf numFmtId="0" fontId="5" fillId="0" borderId="0" applyAlignment="1" pivotButton="0" quotePrefix="0" xfId="0">
      <alignment vertical="center" wrapText="1"/>
    </xf>
    <xf numFmtId="1" fontId="2" fillId="3" borderId="0" applyAlignment="1" pivotButton="0" quotePrefix="0" xfId="0">
      <alignment vertical="center" wrapText="1"/>
    </xf>
    <xf numFmtId="164" fontId="2" fillId="3" borderId="18" applyAlignment="1" pivotButton="0" quotePrefix="0" xfId="0">
      <alignment vertical="center" wrapText="1"/>
    </xf>
    <xf numFmtId="0" fontId="2" fillId="3" borderId="15" applyAlignment="1" pivotButton="0" quotePrefix="0" xfId="0">
      <alignment vertical="center" wrapText="1"/>
    </xf>
    <xf numFmtId="0" fontId="0" fillId="0" borderId="16" applyAlignment="1" pivotButton="0" quotePrefix="0" xfId="0">
      <alignment vertical="center"/>
    </xf>
    <xf numFmtId="0" fontId="0" fillId="0" borderId="17" applyAlignment="1" pivotButton="0" quotePrefix="0" xfId="0">
      <alignment vertical="center"/>
    </xf>
    <xf numFmtId="0" fontId="3" fillId="3" borderId="19" applyAlignment="1" pivotButton="0" quotePrefix="0" xfId="0">
      <alignment vertical="center" wrapText="1"/>
    </xf>
    <xf numFmtId="0" fontId="2" fillId="3" borderId="20" applyAlignment="1" pivotButton="0" quotePrefix="0" xfId="0">
      <alignment vertical="center" wrapText="1"/>
    </xf>
    <xf numFmtId="0" fontId="2" fillId="3" borderId="21" applyAlignment="1" pivotButton="0" quotePrefix="0" xfId="0">
      <alignment vertical="center" wrapText="1"/>
    </xf>
    <xf numFmtId="0" fontId="2" fillId="3" borderId="22" applyAlignment="1" pivotButton="0" quotePrefix="0" xfId="0">
      <alignment vertical="center" wrapText="1"/>
    </xf>
    <xf numFmtId="0" fontId="2" fillId="3" borderId="9" applyAlignment="1" pivotButton="0" quotePrefix="0" xfId="0">
      <alignment vertical="center" wrapText="1"/>
    </xf>
    <xf numFmtId="0" fontId="2" fillId="3" borderId="23" applyAlignment="1" pivotButton="0" quotePrefix="0" xfId="0">
      <alignment vertical="center" wrapText="1"/>
    </xf>
    <xf numFmtId="0" fontId="2" fillId="3" borderId="24" applyAlignment="1" pivotButton="0" quotePrefix="0" xfId="0">
      <alignment vertical="center" wrapText="1"/>
    </xf>
    <xf numFmtId="0" fontId="2" fillId="3" borderId="25" applyAlignment="1" pivotButton="0" quotePrefix="0" xfId="0">
      <alignment vertical="center" wrapText="1"/>
    </xf>
    <xf numFmtId="0" fontId="2" fillId="3" borderId="26" applyAlignment="1" pivotButton="0" quotePrefix="0" xfId="0">
      <alignment vertical="center" wrapText="1"/>
    </xf>
    <xf numFmtId="1" fontId="2" fillId="3" borderId="31" applyAlignment="1" pivotButton="0" quotePrefix="0" xfId="0">
      <alignment vertical="center" wrapText="1"/>
    </xf>
    <xf numFmtId="164" fontId="2" fillId="3" borderId="31" applyAlignment="1" pivotButton="0" quotePrefix="0" xfId="0">
      <alignment vertical="center" wrapText="1"/>
    </xf>
    <xf numFmtId="0" fontId="2" fillId="3" borderId="28" applyAlignment="1" pivotButton="0" quotePrefix="0" xfId="0">
      <alignment vertical="center" wrapText="1"/>
    </xf>
    <xf numFmtId="0" fontId="0" fillId="0" borderId="29" applyAlignment="1" pivotButton="0" quotePrefix="0" xfId="0">
      <alignment vertical="center"/>
    </xf>
    <xf numFmtId="0" fontId="0" fillId="0" borderId="30" applyAlignment="1" pivotButton="0" quotePrefix="0" xfId="0">
      <alignment vertical="center"/>
    </xf>
    <xf numFmtId="0" fontId="3" fillId="3" borderId="32" applyAlignment="1" pivotButton="0" quotePrefix="0" xfId="0">
      <alignment vertical="center" wrapText="1"/>
    </xf>
    <xf numFmtId="0" fontId="2" fillId="3" borderId="33" applyAlignment="1" pivotButton="0" quotePrefix="0" xfId="0">
      <alignment vertical="center" wrapText="1"/>
    </xf>
    <xf numFmtId="0" fontId="2" fillId="3" borderId="34" applyAlignment="1" pivotButton="0" quotePrefix="0" xfId="0">
      <alignment vertical="center" wrapText="1"/>
    </xf>
    <xf numFmtId="0" fontId="2" fillId="3" borderId="35" applyAlignment="1" pivotButton="0" quotePrefix="0" xfId="0">
      <alignment vertical="center" wrapText="1"/>
    </xf>
    <xf numFmtId="0" fontId="2" fillId="3" borderId="36" applyAlignment="1" pivotButton="0" quotePrefix="0" xfId="0">
      <alignment vertical="center" wrapText="1"/>
    </xf>
    <xf numFmtId="0" fontId="2" fillId="3" borderId="37" applyAlignment="1" pivotButton="0" quotePrefix="0" xfId="0">
      <alignment vertical="center" wrapText="1"/>
    </xf>
    <xf numFmtId="0" fontId="2" fillId="3" borderId="38" applyAlignment="1" pivotButton="0" quotePrefix="0" xfId="0">
      <alignment vertical="center" wrapText="1"/>
    </xf>
    <xf numFmtId="0" fontId="2" fillId="3" borderId="39" applyAlignment="1" pivotButton="0" quotePrefix="0" xfId="0">
      <alignment vertical="center" wrapText="1"/>
    </xf>
    <xf numFmtId="2" fontId="2" fillId="3" borderId="18" applyAlignment="1" pivotButton="0" quotePrefix="0" xfId="0">
      <alignment vertical="center" wrapText="1"/>
    </xf>
    <xf numFmtId="2" fontId="2" fillId="3" borderId="31" applyAlignment="1" pivotButton="0" quotePrefix="0" xfId="0">
      <alignment vertical="center" wrapText="1"/>
    </xf>
    <xf numFmtId="1" fontId="2" fillId="2" borderId="0" applyAlignment="1" pivotButton="0" quotePrefix="0" xfId="0">
      <alignment vertical="center" wrapText="1"/>
    </xf>
    <xf numFmtId="165" fontId="2" fillId="2" borderId="0" applyAlignment="1" pivotButton="0" quotePrefix="0" xfId="0">
      <alignment vertical="center" wrapText="1"/>
    </xf>
    <xf numFmtId="165" fontId="2" fillId="3" borderId="18" applyAlignment="1" pivotButton="0" quotePrefix="0" xfId="0">
      <alignment vertical="center" wrapText="1"/>
    </xf>
    <xf numFmtId="165" fontId="2" fillId="3" borderId="0" applyAlignment="1" pivotButton="0" quotePrefix="0" xfId="0">
      <alignment vertical="center" wrapText="1"/>
    </xf>
    <xf numFmtId="165" fontId="2" fillId="3" borderId="31" applyAlignment="1" pivotButton="0" quotePrefix="0" xfId="0">
      <alignment vertical="center" wrapText="1"/>
    </xf>
    <xf numFmtId="164" fontId="2" fillId="2" borderId="0" applyAlignment="1" pivotButton="0" quotePrefix="0" xfId="0">
      <alignment vertical="center" wrapText="1"/>
    </xf>
    <xf numFmtId="166" fontId="2" fillId="3" borderId="18" applyAlignment="1" pivotButton="0" quotePrefix="0" xfId="0">
      <alignment vertical="center" wrapText="1"/>
    </xf>
    <xf numFmtId="166" fontId="2" fillId="3" borderId="0" applyAlignment="1" pivotButton="0" quotePrefix="0" xfId="0">
      <alignment vertical="center" wrapText="1"/>
    </xf>
    <xf numFmtId="166" fontId="2" fillId="3" borderId="31" applyAlignment="1" pivotButton="0" quotePrefix="0" xfId="0">
      <alignment vertical="center" wrapText="1"/>
    </xf>
    <xf numFmtId="0" fontId="27" fillId="15" borderId="40" xfId="0"/>
    <xf numFmtId="0" fontId="28" fillId="15" borderId="40" xfId="0" applyNumberFormat="1" applyFont="1" applyFill="1" applyBorder="1"/>
    <xf numFmtId="0" fontId="28" fillId="15" borderId="40" xfId="0" applyNumberFormat="1" applyFont="1" applyFill="1" applyBorder="1" applyAlignment="1">
      <alignment wrapText="1"/>
    </xf>
    <xf numFmtId="0" fontId="28" fillId="15" borderId="40" xfId="0" applyNumberFormat="1" applyFont="1" applyFill="1" applyBorder="1" applyAlignment="1">
      <alignment vertical="center" wrapText="1"/>
    </xf>
    <xf numFmtId="0" fontId="29" fillId="15" borderId="40" xfId="0" applyNumberFormat="1" applyFont="1" applyFill="1" applyBorder="1" applyAlignment="1">
      <alignment vertical="center" wrapText="1"/>
    </xf>
    <xf numFmtId="0" fontId="30" fillId="15" borderId="40" xfId="0" applyNumberFormat="1" applyFont="1" applyFill="1" applyBorder="1" applyAlignment="1">
      <alignment vertical="center" wrapText="1"/>
    </xf>
    <xf numFmtId="0" fontId="28" fillId="17" borderId="40" xfId="0" applyNumberFormat="1" applyFont="1" applyFill="1" applyBorder="1" applyAlignment="1">
      <alignment vertical="center" wrapText="1"/>
    </xf>
    <xf numFmtId="0" fontId="28" fillId="17" borderId="41" xfId="0" applyNumberFormat="1" applyFont="1" applyFill="1" applyBorder="1" applyAlignment="1">
      <alignment vertical="center" wrapText="1"/>
    </xf>
    <xf numFmtId="0" fontId="28" fillId="17" borderId="42" xfId="0" applyNumberFormat="1" applyFont="1" applyFill="1" applyBorder="1" applyAlignment="1">
      <alignment vertical="center" wrapText="1"/>
    </xf>
    <xf numFmtId="0" fontId="28" fillId="17" borderId="43" xfId="0" applyNumberFormat="1" applyFont="1" applyFill="1" applyBorder="1" applyAlignment="1">
      <alignment vertical="center" wrapText="1"/>
    </xf>
    <xf numFmtId="0" fontId="31" fillId="15" borderId="40" xfId="0" applyNumberFormat="1" applyFont="1" applyFill="1" applyBorder="1" applyAlignment="1">
      <alignment vertical="center" wrapText="1"/>
    </xf>
    <xf numFmtId="0" fontId="28" fillId="18" borderId="40" xfId="0" applyNumberFormat="1" applyFont="1" applyFill="1" applyBorder="1" applyAlignment="1">
      <alignment vertical="center" wrapText="1"/>
    </xf>
    <xf numFmtId="0" fontId="32" fillId="15" borderId="40" xfId="0" applyNumberFormat="1" applyFont="1" applyFill="1" applyBorder="1" applyAlignment="1">
      <alignment vertical="center" wrapText="1"/>
    </xf>
    <xf numFmtId="0" fontId="33" fillId="15" borderId="40" xfId="0" applyNumberFormat="1" applyFont="1" applyFill="1" applyBorder="1"/>
    <xf numFmtId="0" fontId="33" fillId="15" borderId="40" xfId="0" applyNumberFormat="1" applyFont="1" applyFill="1" applyBorder="1" applyAlignment="1">
      <alignment wrapText="1"/>
    </xf>
    <xf numFmtId="0" fontId="33" fillId="15" borderId="40" xfId="0" applyNumberFormat="1" applyFont="1" applyFill="1" applyBorder="1" applyAlignment="1">
      <alignment vertical="center" wrapText="1"/>
    </xf>
    <xf numFmtId="0" fontId="34" fillId="15" borderId="40" xfId="0" applyNumberFormat="1" applyFont="1" applyFill="1" applyBorder="1" applyAlignment="1">
      <alignment vertical="center" wrapText="1"/>
    </xf>
    <xf numFmtId="0" fontId="27" fillId="15" borderId="44" xfId="0" applyNumberFormat="1" applyFont="1" applyFill="1" applyBorder="1"/>
    <xf numFmtId="0" fontId="27" fillId="15" borderId="41" xfId="0" applyNumberFormat="1" applyFont="1" applyFill="1" applyBorder="1"/>
    <xf numFmtId="0" fontId="27" fillId="15" borderId="42" xfId="0" applyNumberFormat="1" applyFont="1" applyFill="1" applyBorder="1"/>
    <xf numFmtId="0" fontId="27" fillId="15" borderId="43" xfId="0" applyNumberFormat="1" applyFont="1" applyFill="1" applyBorder="1"/>
    <xf numFmtId="0" fontId="27" fillId="15" borderId="45" xfId="0" applyNumberFormat="1" applyFont="1" applyFill="1" applyBorder="1"/>
    <xf numFmtId="0" fontId="27" fillId="15" borderId="46" xfId="0" applyNumberFormat="1" applyFont="1" applyFill="1" applyBorder="1"/>
    <xf numFmtId="0" fontId="27" fillId="15" borderId="47" xfId="0" applyNumberFormat="1" applyFont="1" applyFill="1" applyBorder="1"/>
    <xf numFmtId="0" fontId="27" fillId="15" borderId="48" xfId="0" applyNumberFormat="1" applyFont="1" applyFill="1" applyBorder="1"/>
    <xf numFmtId="0" fontId="27" fillId="15" borderId="40" xfId="0" applyNumberFormat="1" applyFont="1" applyFill="1" applyBorder="1"/>
    <xf numFmtId="0" fontId="27" fillId="15" borderId="49" xfId="0" applyNumberFormat="1" applyFont="1" applyFill="1" applyBorder="1"/>
    <xf numFmtId="0" fontId="27" fillId="15" borderId="50" xfId="0" applyNumberFormat="1" applyFont="1" applyFill="1" applyBorder="1"/>
    <xf numFmtId="0" fontId="27" fillId="15" borderId="51" xfId="0" applyNumberFormat="1" applyFont="1" applyFill="1" applyBorder="1"/>
    <xf numFmtId="0" fontId="27" fillId="15" borderId="52" xfId="0" applyNumberFormat="1" applyFont="1" applyFill="1" applyBorder="1"/>
    <xf numFmtId="0" fontId="33" fillId="19" borderId="40" xfId="0" applyNumberFormat="1" applyFont="1" applyFill="1" applyBorder="1" applyAlignment="1">
      <alignment vertical="center" wrapText="1"/>
    </xf>
    <xf numFmtId="0" fontId="27" fillId="19" borderId="40" xfId="0" applyNumberFormat="1" applyFont="1" applyFill="1" applyBorder="1"/>
    <xf numFmtId="0" fontId="1" fillId="0" borderId="0" applyAlignment="1" pivotButton="0" quotePrefix="0" xfId="0">
      <alignment vertical="center" wrapText="1"/>
    </xf>
    <xf numFmtId="0" fontId="2" fillId="0" borderId="0" applyAlignment="1" pivotButton="0" quotePrefix="0" xfId="0">
      <alignment vertical="center" wrapText="1"/>
    </xf>
    <xf numFmtId="0" fontId="2" fillId="2" borderId="0" applyAlignment="1" pivotButton="0" quotePrefix="0" xfId="0">
      <alignment vertical="center" wrapText="1"/>
    </xf>
    <xf numFmtId="1" fontId="2" fillId="3" borderId="31" applyAlignment="1" pivotButton="0" quotePrefix="0" xfId="0">
      <alignment vertical="center" wrapText="1"/>
    </xf>
    <xf numFmtId="0" fontId="4" fillId="4" borderId="0" applyAlignment="1" pivotButton="0" quotePrefix="0" xfId="0">
      <alignment vertical="center" wrapText="1"/>
    </xf>
    <xf numFmtId="0" fontId="0" fillId="0" borderId="0" applyAlignment="1" pivotButton="0" quotePrefix="0" xfId="0">
      <alignment vertical="center"/>
    </xf>
    <xf numFmtId="0" fontId="5" fillId="0" borderId="0" applyAlignment="1" pivotButton="0" quotePrefix="0" xfId="0">
      <alignment vertical="center" wrapText="1"/>
    </xf>
    <xf numFmtId="1" fontId="2" fillId="3" borderId="0" applyAlignment="1" pivotButton="0" quotePrefix="0" xfId="0">
      <alignment vertical="center" wrapText="1"/>
    </xf>
    <xf numFmtId="164" fontId="2" fillId="3" borderId="31" applyAlignment="1" pivotButton="0" quotePrefix="0" xfId="0">
      <alignment vertical="center" wrapText="1"/>
    </xf>
    <xf numFmtId="0" fontId="2" fillId="3" borderId="28" applyAlignment="1" pivotButton="0" quotePrefix="0" xfId="0">
      <alignment vertical="center" wrapText="1"/>
    </xf>
    <xf numFmtId="0" fontId="0" fillId="0" borderId="29" applyAlignment="1" pivotButton="0" quotePrefix="0" xfId="0">
      <alignment vertical="center"/>
    </xf>
    <xf numFmtId="0" fontId="0" fillId="0" borderId="30" applyAlignment="1" pivotButton="0" quotePrefix="0" xfId="0">
      <alignment vertical="center"/>
    </xf>
    <xf numFmtId="0" fontId="3" fillId="3" borderId="32" applyAlignment="1" pivotButton="0" quotePrefix="0" xfId="0">
      <alignment vertical="center" wrapText="1"/>
    </xf>
    <xf numFmtId="0" fontId="2" fillId="3" borderId="33" applyAlignment="1" pivotButton="0" quotePrefix="0" xfId="0">
      <alignment vertical="center" wrapText="1"/>
    </xf>
    <xf numFmtId="0" fontId="2" fillId="3" borderId="34" applyAlignment="1" pivotButton="0" quotePrefix="0" xfId="0">
      <alignment vertical="center" wrapText="1"/>
    </xf>
    <xf numFmtId="0" fontId="2" fillId="3" borderId="35" applyAlignment="1" pivotButton="0" quotePrefix="0" xfId="0">
      <alignment vertical="center" wrapText="1"/>
    </xf>
    <xf numFmtId="0" fontId="2" fillId="3" borderId="9" applyAlignment="1" pivotButton="0" quotePrefix="0" xfId="0">
      <alignment vertical="center" wrapText="1"/>
    </xf>
    <xf numFmtId="0" fontId="2" fillId="3" borderId="36" applyAlignment="1" pivotButton="0" quotePrefix="0" xfId="0">
      <alignment vertical="center" wrapText="1"/>
    </xf>
    <xf numFmtId="0" fontId="2" fillId="3" borderId="37" applyAlignment="1" pivotButton="0" quotePrefix="0" xfId="0">
      <alignment vertical="center" wrapText="1"/>
    </xf>
    <xf numFmtId="0" fontId="2" fillId="3" borderId="38" applyAlignment="1" pivotButton="0" quotePrefix="0" xfId="0">
      <alignment vertical="center" wrapText="1"/>
    </xf>
    <xf numFmtId="0" fontId="2" fillId="3" borderId="39" applyAlignment="1" pivotButton="0" quotePrefix="0" xfId="0">
      <alignment vertical="center" wrapText="1"/>
    </xf>
    <xf numFmtId="1" fontId="2" fillId="3" borderId="44" applyAlignment="1" pivotButton="0" quotePrefix="0" xfId="0">
      <alignment vertical="center" wrapText="1"/>
    </xf>
    <xf numFmtId="164" fontId="2" fillId="3" borderId="44" applyAlignment="1" pivotButton="0" quotePrefix="0" xfId="0">
      <alignment vertical="center" wrapText="1"/>
    </xf>
    <xf numFmtId="0" fontId="2" fillId="3" borderId="41" applyAlignment="1" pivotButton="0" quotePrefix="0" xfId="0">
      <alignment vertical="center" wrapText="1"/>
    </xf>
    <xf numFmtId="0" fontId="0" fillId="0" borderId="42" applyAlignment="1" pivotButton="0" quotePrefix="0" xfId="0">
      <alignment vertical="center"/>
    </xf>
    <xf numFmtId="0" fontId="0" fillId="0" borderId="43" applyAlignment="1" pivotButton="0" quotePrefix="0" xfId="0">
      <alignment vertical="center"/>
    </xf>
    <xf numFmtId="0" fontId="3" fillId="3" borderId="45" applyAlignment="1" pivotButton="0" quotePrefix="0" xfId="0">
      <alignment vertical="center" wrapText="1"/>
    </xf>
    <xf numFmtId="0" fontId="2" fillId="3" borderId="46" applyAlignment="1" pivotButton="0" quotePrefix="0" xfId="0">
      <alignment vertical="center" wrapText="1"/>
    </xf>
    <xf numFmtId="0" fontId="2" fillId="3" borderId="47" applyAlignment="1" pivotButton="0" quotePrefix="0" xfId="0">
      <alignment vertical="center" wrapText="1"/>
    </xf>
    <xf numFmtId="0" fontId="2" fillId="3" borderId="48" applyAlignment="1" pivotButton="0" quotePrefix="0" xfId="0">
      <alignment vertical="center" wrapText="1"/>
    </xf>
    <xf numFmtId="0" fontId="2" fillId="3" borderId="49" applyAlignment="1" pivotButton="0" quotePrefix="0" xfId="0">
      <alignment vertical="center" wrapText="1"/>
    </xf>
    <xf numFmtId="0" fontId="2" fillId="3" borderId="50" applyAlignment="1" pivotButton="0" quotePrefix="0" xfId="0">
      <alignment vertical="center" wrapText="1"/>
    </xf>
    <xf numFmtId="0" fontId="2" fillId="3" borderId="51" applyAlignment="1" pivotButton="0" quotePrefix="0" xfId="0">
      <alignment vertical="center" wrapText="1"/>
    </xf>
    <xf numFmtId="0" fontId="2" fillId="3" borderId="52" applyAlignment="1" pivotButton="0" quotePrefix="0" xfId="0">
      <alignment vertical="center" wrapText="1"/>
    </xf>
    <xf numFmtId="2" fontId="2" fillId="3" borderId="31" applyAlignment="1" pivotButton="0" quotePrefix="0" xfId="0">
      <alignment vertical="center" wrapText="1"/>
    </xf>
    <xf numFmtId="2" fontId="2" fillId="3" borderId="44" applyAlignment="1" pivotButton="0" quotePrefix="0" xfId="0">
      <alignment vertical="center" wrapText="1"/>
    </xf>
    <xf numFmtId="1" fontId="2" fillId="2" borderId="0" applyAlignment="1" pivotButton="0" quotePrefix="0" xfId="0">
      <alignment vertical="center" wrapText="1"/>
    </xf>
    <xf numFmtId="165" fontId="2" fillId="2" borderId="0" applyAlignment="1" pivotButton="0" quotePrefix="0" xfId="0">
      <alignment vertical="center" wrapText="1"/>
    </xf>
    <xf numFmtId="165" fontId="2" fillId="3" borderId="31" applyAlignment="1" pivotButton="0" quotePrefix="0" xfId="0">
      <alignment vertical="center" wrapText="1"/>
    </xf>
    <xf numFmtId="165" fontId="2" fillId="3" borderId="0" applyAlignment="1" pivotButton="0" quotePrefix="0" xfId="0">
      <alignment vertical="center" wrapText="1"/>
    </xf>
    <xf numFmtId="165" fontId="2" fillId="3" borderId="44" applyAlignment="1" pivotButton="0" quotePrefix="0" xfId="0">
      <alignment vertical="center" wrapText="1"/>
    </xf>
    <xf numFmtId="164" fontId="2" fillId="2" borderId="0" applyAlignment="1" pivotButton="0" quotePrefix="0" xfId="0">
      <alignment vertical="center" wrapText="1"/>
    </xf>
    <xf numFmtId="166" fontId="2" fillId="3" borderId="31" applyAlignment="1" pivotButton="0" quotePrefix="0" xfId="0">
      <alignment vertical="center" wrapText="1"/>
    </xf>
    <xf numFmtId="166" fontId="2" fillId="3" borderId="0" applyAlignment="1" pivotButton="0" quotePrefix="0" xfId="0">
      <alignment vertical="center" wrapText="1"/>
    </xf>
    <xf numFmtId="166" fontId="2" fillId="3" borderId="44" applyAlignment="1" pivotButton="0" quotePrefix="0" xfId="0">
      <alignment vertical="center" wrapText="1"/>
    </xf>
    <xf numFmtId="0" fontId="35" fillId="20" borderId="53" xfId="0"/>
    <xf numFmtId="0" fontId="36" fillId="20" borderId="53" xfId="0" applyNumberFormat="1" applyFont="1" applyFill="1" applyBorder="1"/>
    <xf numFmtId="0" fontId="36" fillId="20" borderId="53" xfId="0" applyNumberFormat="1" applyFont="1" applyFill="1" applyBorder="1" applyAlignment="1">
      <alignment wrapText="1"/>
    </xf>
    <xf numFmtId="0" fontId="36" fillId="20" borderId="53" xfId="0" applyNumberFormat="1" applyFont="1" applyFill="1" applyBorder="1" applyAlignment="1">
      <alignment vertical="center" wrapText="1"/>
    </xf>
    <xf numFmtId="0" fontId="37" fillId="20" borderId="53" xfId="0" applyNumberFormat="1" applyFont="1" applyFill="1" applyBorder="1" applyAlignment="1">
      <alignment vertical="center" wrapText="1"/>
    </xf>
    <xf numFmtId="0" fontId="38" fillId="20" borderId="53" xfId="0" applyNumberFormat="1" applyFont="1" applyFill="1" applyBorder="1" applyAlignment="1">
      <alignment vertical="center" wrapText="1"/>
    </xf>
    <xf numFmtId="0" fontId="36" fillId="22" borderId="53" xfId="0" applyNumberFormat="1" applyFont="1" applyFill="1" applyBorder="1" applyAlignment="1">
      <alignment vertical="center" wrapText="1"/>
    </xf>
    <xf numFmtId="0" fontId="36" fillId="22" borderId="54" xfId="0" applyNumberFormat="1" applyFont="1" applyFill="1" applyBorder="1" applyAlignment="1">
      <alignment vertical="center" wrapText="1"/>
    </xf>
    <xf numFmtId="0" fontId="36" fillId="22" borderId="55" xfId="0" applyNumberFormat="1" applyFont="1" applyFill="1" applyBorder="1" applyAlignment="1">
      <alignment vertical="center" wrapText="1"/>
    </xf>
    <xf numFmtId="0" fontId="36" fillId="22" borderId="56" xfId="0" applyNumberFormat="1" applyFont="1" applyFill="1" applyBorder="1" applyAlignment="1">
      <alignment vertical="center" wrapText="1"/>
    </xf>
    <xf numFmtId="0" fontId="39" fillId="20" borderId="53" xfId="0" applyNumberFormat="1" applyFont="1" applyFill="1" applyBorder="1" applyAlignment="1">
      <alignment vertical="center" wrapText="1"/>
    </xf>
    <xf numFmtId="0" fontId="36" fillId="23" borderId="53" xfId="0" applyNumberFormat="1" applyFont="1" applyFill="1" applyBorder="1" applyAlignment="1">
      <alignment vertical="center" wrapText="1"/>
    </xf>
    <xf numFmtId="0" fontId="40" fillId="20" borderId="53" xfId="0" applyNumberFormat="1" applyFont="1" applyFill="1" applyBorder="1" applyAlignment="1">
      <alignment vertical="center" wrapText="1"/>
    </xf>
    <xf numFmtId="0" fontId="41" fillId="20" borderId="53" xfId="0" applyNumberFormat="1" applyFont="1" applyFill="1" applyBorder="1"/>
    <xf numFmtId="0" fontId="41" fillId="20" borderId="53" xfId="0" applyNumberFormat="1" applyFont="1" applyFill="1" applyBorder="1" applyAlignment="1">
      <alignment wrapText="1"/>
    </xf>
    <xf numFmtId="0" fontId="41" fillId="20" borderId="53" xfId="0" applyNumberFormat="1" applyFont="1" applyFill="1" applyBorder="1" applyAlignment="1">
      <alignment vertical="center" wrapText="1"/>
    </xf>
    <xf numFmtId="0" fontId="42" fillId="20" borderId="53" xfId="0" applyNumberFormat="1" applyFont="1" applyFill="1" applyBorder="1" applyAlignment="1">
      <alignment vertical="center" wrapText="1"/>
    </xf>
    <xf numFmtId="0" fontId="35" fillId="20" borderId="57" xfId="0" applyNumberFormat="1" applyFont="1" applyFill="1" applyBorder="1"/>
    <xf numFmtId="0" fontId="35" fillId="20" borderId="54" xfId="0" applyNumberFormat="1" applyFont="1" applyFill="1" applyBorder="1"/>
    <xf numFmtId="0" fontId="35" fillId="20" borderId="55" xfId="0" applyNumberFormat="1" applyFont="1" applyFill="1" applyBorder="1"/>
    <xf numFmtId="0" fontId="35" fillId="20" borderId="56" xfId="0" applyNumberFormat="1" applyFont="1" applyFill="1" applyBorder="1"/>
    <xf numFmtId="0" fontId="35" fillId="20" borderId="58" xfId="0" applyNumberFormat="1" applyFont="1" applyFill="1" applyBorder="1"/>
    <xf numFmtId="0" fontId="35" fillId="20" borderId="59" xfId="0" applyNumberFormat="1" applyFont="1" applyFill="1" applyBorder="1"/>
    <xf numFmtId="0" fontId="35" fillId="20" borderId="60" xfId="0" applyNumberFormat="1" applyFont="1" applyFill="1" applyBorder="1"/>
    <xf numFmtId="0" fontId="35" fillId="20" borderId="61" xfId="0" applyNumberFormat="1" applyFont="1" applyFill="1" applyBorder="1"/>
    <xf numFmtId="0" fontId="35" fillId="20" borderId="53" xfId="0" applyNumberFormat="1" applyFont="1" applyFill="1" applyBorder="1"/>
    <xf numFmtId="0" fontId="35" fillId="20" borderId="62" xfId="0" applyNumberFormat="1" applyFont="1" applyFill="1" applyBorder="1"/>
    <xf numFmtId="0" fontId="35" fillId="20" borderId="63" xfId="0" applyNumberFormat="1" applyFont="1" applyFill="1" applyBorder="1"/>
    <xf numFmtId="0" fontId="35" fillId="20" borderId="64" xfId="0" applyNumberFormat="1" applyFont="1" applyFill="1" applyBorder="1"/>
    <xf numFmtId="0" fontId="35" fillId="20" borderId="65" xfId="0" applyNumberFormat="1" applyFont="1" applyFill="1" applyBorder="1"/>
    <xf numFmtId="0" fontId="41" fillId="24" borderId="53" xfId="0" applyNumberFormat="1" applyFont="1" applyFill="1" applyBorder="1" applyAlignment="1">
      <alignment vertical="center" wrapText="1"/>
    </xf>
    <xf numFmtId="0" fontId="35" fillId="24" borderId="53" xfId="0" applyNumberFormat="1" applyFont="1" applyFill="1" applyBorder="1"/>
    <xf numFmtId="0" fontId="1" fillId="0" borderId="0" applyAlignment="1" pivotButton="0" quotePrefix="0" xfId="0">
      <alignment vertical="center" wrapText="1"/>
    </xf>
    <xf numFmtId="0" fontId="2" fillId="0" borderId="0" applyAlignment="1" pivotButton="0" quotePrefix="0" xfId="0">
      <alignment vertical="center" wrapText="1"/>
    </xf>
    <xf numFmtId="0" fontId="2" fillId="2" borderId="0" applyAlignment="1" pivotButton="0" quotePrefix="0" xfId="0">
      <alignment vertical="center" wrapText="1"/>
    </xf>
    <xf numFmtId="1" fontId="2" fillId="3" borderId="44" applyAlignment="1" pivotButton="0" quotePrefix="0" xfId="0">
      <alignment vertical="center" wrapText="1"/>
    </xf>
    <xf numFmtId="0" fontId="4" fillId="4" borderId="0" applyAlignment="1" pivotButton="0" quotePrefix="0" xfId="0">
      <alignment vertical="center" wrapText="1"/>
    </xf>
    <xf numFmtId="0" fontId="0" fillId="0" borderId="0" applyAlignment="1" pivotButton="0" quotePrefix="0" xfId="0">
      <alignment vertical="center"/>
    </xf>
    <xf numFmtId="0" fontId="5" fillId="0" borderId="0" applyAlignment="1" pivotButton="0" quotePrefix="0" xfId="0">
      <alignment vertical="center" wrapText="1"/>
    </xf>
    <xf numFmtId="1" fontId="2" fillId="3" borderId="0" applyAlignment="1" pivotButton="0" quotePrefix="0" xfId="0">
      <alignment vertical="center" wrapText="1"/>
    </xf>
    <xf numFmtId="164" fontId="2" fillId="3" borderId="44" applyAlignment="1" pivotButton="0" quotePrefix="0" xfId="0">
      <alignment vertical="center" wrapText="1"/>
    </xf>
    <xf numFmtId="0" fontId="2" fillId="3" borderId="41" applyAlignment="1" pivotButton="0" quotePrefix="0" xfId="0">
      <alignment vertical="center" wrapText="1"/>
    </xf>
    <xf numFmtId="0" fontId="0" fillId="0" borderId="42" applyAlignment="1" pivotButton="0" quotePrefix="0" xfId="0">
      <alignment vertical="center"/>
    </xf>
    <xf numFmtId="0" fontId="0" fillId="0" borderId="43" applyAlignment="1" pivotButton="0" quotePrefix="0" xfId="0">
      <alignment vertical="center"/>
    </xf>
    <xf numFmtId="0" fontId="3" fillId="3" borderId="45" applyAlignment="1" pivotButton="0" quotePrefix="0" xfId="0">
      <alignment vertical="center" wrapText="1"/>
    </xf>
    <xf numFmtId="0" fontId="2" fillId="3" borderId="46" applyAlignment="1" pivotButton="0" quotePrefix="0" xfId="0">
      <alignment vertical="center" wrapText="1"/>
    </xf>
    <xf numFmtId="0" fontId="2" fillId="3" borderId="47" applyAlignment="1" pivotButton="0" quotePrefix="0" xfId="0">
      <alignment vertical="center" wrapText="1"/>
    </xf>
    <xf numFmtId="0" fontId="2" fillId="3" borderId="48" applyAlignment="1" pivotButton="0" quotePrefix="0" xfId="0">
      <alignment vertical="center" wrapText="1"/>
    </xf>
    <xf numFmtId="0" fontId="2" fillId="3" borderId="9" applyAlignment="1" pivotButton="0" quotePrefix="0" xfId="0">
      <alignment vertical="center" wrapText="1"/>
    </xf>
    <xf numFmtId="0" fontId="2" fillId="3" borderId="49" applyAlignment="1" pivotButton="0" quotePrefix="0" xfId="0">
      <alignment vertical="center" wrapText="1"/>
    </xf>
    <xf numFmtId="0" fontId="2" fillId="3" borderId="50" applyAlignment="1" pivotButton="0" quotePrefix="0" xfId="0">
      <alignment vertical="center" wrapText="1"/>
    </xf>
    <xf numFmtId="0" fontId="2" fillId="3" borderId="51" applyAlignment="1" pivotButton="0" quotePrefix="0" xfId="0">
      <alignment vertical="center" wrapText="1"/>
    </xf>
    <xf numFmtId="0" fontId="2" fillId="3" borderId="52" applyAlignment="1" pivotButton="0" quotePrefix="0" xfId="0">
      <alignment vertical="center" wrapText="1"/>
    </xf>
    <xf numFmtId="1" fontId="2" fillId="3" borderId="57" applyAlignment="1" pivotButton="0" quotePrefix="0" xfId="0">
      <alignment vertical="center" wrapText="1"/>
    </xf>
    <xf numFmtId="164" fontId="2" fillId="3" borderId="57" applyAlignment="1" pivotButton="0" quotePrefix="0" xfId="0">
      <alignment vertical="center" wrapText="1"/>
    </xf>
    <xf numFmtId="0" fontId="2" fillId="3" borderId="54" applyAlignment="1" pivotButton="0" quotePrefix="0" xfId="0">
      <alignment vertical="center" wrapText="1"/>
    </xf>
    <xf numFmtId="0" fontId="0" fillId="0" borderId="55" applyAlignment="1" pivotButton="0" quotePrefix="0" xfId="0">
      <alignment vertical="center"/>
    </xf>
    <xf numFmtId="0" fontId="0" fillId="0" borderId="56" applyAlignment="1" pivotButton="0" quotePrefix="0" xfId="0">
      <alignment vertical="center"/>
    </xf>
    <xf numFmtId="0" fontId="3" fillId="3" borderId="58" applyAlignment="1" pivotButton="0" quotePrefix="0" xfId="0">
      <alignment vertical="center" wrapText="1"/>
    </xf>
    <xf numFmtId="0" fontId="2" fillId="3" borderId="59" applyAlignment="1" pivotButton="0" quotePrefix="0" xfId="0">
      <alignment vertical="center" wrapText="1"/>
    </xf>
    <xf numFmtId="0" fontId="2" fillId="3" borderId="60" applyAlignment="1" pivotButton="0" quotePrefix="0" xfId="0">
      <alignment vertical="center" wrapText="1"/>
    </xf>
    <xf numFmtId="0" fontId="2" fillId="3" borderId="61" applyAlignment="1" pivotButton="0" quotePrefix="0" xfId="0">
      <alignment vertical="center" wrapText="1"/>
    </xf>
    <xf numFmtId="0" fontId="2" fillId="3" borderId="62" applyAlignment="1" pivotButton="0" quotePrefix="0" xfId="0">
      <alignment vertical="center" wrapText="1"/>
    </xf>
    <xf numFmtId="0" fontId="2" fillId="3" borderId="63" applyAlignment="1" pivotButton="0" quotePrefix="0" xfId="0">
      <alignment vertical="center" wrapText="1"/>
    </xf>
    <xf numFmtId="0" fontId="2" fillId="3" borderId="64" applyAlignment="1" pivotButton="0" quotePrefix="0" xfId="0">
      <alignment vertical="center" wrapText="1"/>
    </xf>
    <xf numFmtId="0" fontId="2" fillId="3" borderId="65" applyAlignment="1" pivotButton="0" quotePrefix="0" xfId="0">
      <alignment vertical="center" wrapText="1"/>
    </xf>
    <xf numFmtId="2" fontId="2" fillId="3" borderId="44" applyAlignment="1" pivotButton="0" quotePrefix="0" xfId="0">
      <alignment vertical="center" wrapText="1"/>
    </xf>
    <xf numFmtId="2" fontId="2" fillId="3" borderId="57" applyAlignment="1" pivotButton="0" quotePrefix="0" xfId="0">
      <alignment vertical="center" wrapText="1"/>
    </xf>
    <xf numFmtId="1" fontId="2" fillId="2" borderId="0" applyAlignment="1" pivotButton="0" quotePrefix="0" xfId="0">
      <alignment vertical="center" wrapText="1"/>
    </xf>
    <xf numFmtId="165" fontId="2" fillId="2" borderId="0" applyAlignment="1" pivotButton="0" quotePrefix="0" xfId="0">
      <alignment vertical="center" wrapText="1"/>
    </xf>
    <xf numFmtId="165" fontId="2" fillId="3" borderId="44" applyAlignment="1" pivotButton="0" quotePrefix="0" xfId="0">
      <alignment vertical="center" wrapText="1"/>
    </xf>
    <xf numFmtId="165" fontId="2" fillId="3" borderId="0" applyAlignment="1" pivotButton="0" quotePrefix="0" xfId="0">
      <alignment vertical="center" wrapText="1"/>
    </xf>
    <xf numFmtId="165" fontId="2" fillId="3" borderId="57" applyAlignment="1" pivotButton="0" quotePrefix="0" xfId="0">
      <alignment vertical="center" wrapText="1"/>
    </xf>
    <xf numFmtId="164" fontId="2" fillId="2" borderId="0" applyAlignment="1" pivotButton="0" quotePrefix="0" xfId="0">
      <alignment vertical="center" wrapText="1"/>
    </xf>
    <xf numFmtId="166" fontId="2" fillId="3" borderId="44" applyAlignment="1" pivotButton="0" quotePrefix="0" xfId="0">
      <alignment vertical="center" wrapText="1"/>
    </xf>
    <xf numFmtId="166" fontId="2" fillId="3" borderId="0" applyAlignment="1" pivotButton="0" quotePrefix="0" xfId="0">
      <alignment vertical="center" wrapText="1"/>
    </xf>
    <xf numFmtId="166" fontId="2" fillId="3" borderId="57" applyAlignment="1" pivotButton="0" quotePrefix="0" xfId="0">
      <alignment vertical="center" wrapText="1"/>
    </xf>
    <xf numFmtId="0" fontId="43" fillId="25" borderId="66" xfId="0"/>
    <xf numFmtId="0" fontId="44" fillId="25" borderId="66" xfId="0" applyNumberFormat="1" applyFont="1" applyFill="1" applyBorder="1"/>
    <xf numFmtId="0" fontId="44" fillId="25" borderId="66" xfId="0" applyNumberFormat="1" applyFont="1" applyFill="1" applyBorder="1" applyAlignment="1">
      <alignment wrapText="1"/>
    </xf>
    <xf numFmtId="0" fontId="44" fillId="25" borderId="66" xfId="0" applyNumberFormat="1" applyFont="1" applyFill="1" applyBorder="1" applyAlignment="1">
      <alignment vertical="center" wrapText="1"/>
    </xf>
    <xf numFmtId="0" fontId="45" fillId="25" borderId="66" xfId="0" applyNumberFormat="1" applyFont="1" applyFill="1" applyBorder="1" applyAlignment="1">
      <alignment vertical="center" wrapText="1"/>
    </xf>
    <xf numFmtId="0" fontId="46" fillId="25" borderId="66" xfId="0" applyNumberFormat="1" applyFont="1" applyFill="1" applyBorder="1" applyAlignment="1">
      <alignment vertical="center" wrapText="1"/>
    </xf>
    <xf numFmtId="0" fontId="44" fillId="27" borderId="66" xfId="0" applyNumberFormat="1" applyFont="1" applyFill="1" applyBorder="1" applyAlignment="1">
      <alignment vertical="center" wrapText="1"/>
    </xf>
    <xf numFmtId="0" fontId="44" fillId="27" borderId="67" xfId="0" applyNumberFormat="1" applyFont="1" applyFill="1" applyBorder="1" applyAlignment="1">
      <alignment vertical="center" wrapText="1"/>
    </xf>
    <xf numFmtId="0" fontId="44" fillId="27" borderId="68" xfId="0" applyNumberFormat="1" applyFont="1" applyFill="1" applyBorder="1" applyAlignment="1">
      <alignment vertical="center" wrapText="1"/>
    </xf>
    <xf numFmtId="0" fontId="44" fillId="27" borderId="69" xfId="0" applyNumberFormat="1" applyFont="1" applyFill="1" applyBorder="1" applyAlignment="1">
      <alignment vertical="center" wrapText="1"/>
    </xf>
    <xf numFmtId="0" fontId="47" fillId="25" borderId="66" xfId="0" applyNumberFormat="1" applyFont="1" applyFill="1" applyBorder="1" applyAlignment="1">
      <alignment vertical="center" wrapText="1"/>
    </xf>
    <xf numFmtId="0" fontId="44" fillId="28" borderId="66" xfId="0" applyNumberFormat="1" applyFont="1" applyFill="1" applyBorder="1" applyAlignment="1">
      <alignment vertical="center" wrapText="1"/>
    </xf>
    <xf numFmtId="0" fontId="48" fillId="25" borderId="66" xfId="0" applyNumberFormat="1" applyFont="1" applyFill="1" applyBorder="1" applyAlignment="1">
      <alignment vertical="center" wrapText="1"/>
    </xf>
    <xf numFmtId="0" fontId="49" fillId="25" borderId="66" xfId="0" applyNumberFormat="1" applyFont="1" applyFill="1" applyBorder="1"/>
    <xf numFmtId="0" fontId="49" fillId="25" borderId="66" xfId="0" applyNumberFormat="1" applyFont="1" applyFill="1" applyBorder="1" applyAlignment="1">
      <alignment wrapText="1"/>
    </xf>
    <xf numFmtId="0" fontId="49" fillId="25" borderId="66" xfId="0" applyNumberFormat="1" applyFont="1" applyFill="1" applyBorder="1" applyAlignment="1">
      <alignment vertical="center" wrapText="1"/>
    </xf>
    <xf numFmtId="0" fontId="50" fillId="25" borderId="66" xfId="0" applyNumberFormat="1" applyFont="1" applyFill="1" applyBorder="1" applyAlignment="1">
      <alignment vertical="center" wrapText="1"/>
    </xf>
    <xf numFmtId="0" fontId="43" fillId="25" borderId="70" xfId="0" applyNumberFormat="1" applyFont="1" applyFill="1" applyBorder="1"/>
    <xf numFmtId="0" fontId="43" fillId="25" borderId="67" xfId="0" applyNumberFormat="1" applyFont="1" applyFill="1" applyBorder="1"/>
    <xf numFmtId="0" fontId="43" fillId="25" borderId="68" xfId="0" applyNumberFormat="1" applyFont="1" applyFill="1" applyBorder="1"/>
    <xf numFmtId="0" fontId="43" fillId="25" borderId="69" xfId="0" applyNumberFormat="1" applyFont="1" applyFill="1" applyBorder="1"/>
    <xf numFmtId="0" fontId="43" fillId="25" borderId="71" xfId="0" applyNumberFormat="1" applyFont="1" applyFill="1" applyBorder="1"/>
    <xf numFmtId="0" fontId="43" fillId="25" borderId="72" xfId="0" applyNumberFormat="1" applyFont="1" applyFill="1" applyBorder="1"/>
    <xf numFmtId="0" fontId="43" fillId="25" borderId="73" xfId="0" applyNumberFormat="1" applyFont="1" applyFill="1" applyBorder="1"/>
    <xf numFmtId="0" fontId="43" fillId="25" borderId="74" xfId="0" applyNumberFormat="1" applyFont="1" applyFill="1" applyBorder="1"/>
    <xf numFmtId="0" fontId="43" fillId="25" borderId="66" xfId="0" applyNumberFormat="1" applyFont="1" applyFill="1" applyBorder="1"/>
    <xf numFmtId="0" fontId="43" fillId="25" borderId="75" xfId="0" applyNumberFormat="1" applyFont="1" applyFill="1" applyBorder="1"/>
    <xf numFmtId="0" fontId="43" fillId="25" borderId="76" xfId="0" applyNumberFormat="1" applyFont="1" applyFill="1" applyBorder="1"/>
    <xf numFmtId="0" fontId="43" fillId="25" borderId="77" xfId="0" applyNumberFormat="1" applyFont="1" applyFill="1" applyBorder="1"/>
    <xf numFmtId="0" fontId="43" fillId="25" borderId="78" xfId="0" applyNumberFormat="1" applyFont="1" applyFill="1" applyBorder="1"/>
    <xf numFmtId="0" fontId="49" fillId="29" borderId="66" xfId="0" applyNumberFormat="1" applyFont="1" applyFill="1" applyBorder="1" applyAlignment="1">
      <alignment vertical="center" wrapText="1"/>
    </xf>
    <xf numFmtId="0" fontId="43" fillId="29" borderId="66" xfId="0" applyNumberFormat="1" applyFont="1" applyFill="1" applyBorder="1"/>
    <xf numFmtId="0" fontId="1" fillId="0" borderId="0" applyAlignment="1" pivotButton="0" quotePrefix="0" xfId="0">
      <alignment vertical="center" wrapText="1"/>
    </xf>
    <xf numFmtId="0" fontId="2" fillId="0" borderId="0" applyAlignment="1" pivotButton="0" quotePrefix="0" xfId="0">
      <alignment vertical="center" wrapText="1"/>
    </xf>
    <xf numFmtId="0" fontId="2" fillId="2" borderId="0" applyAlignment="1" pivotButton="0" quotePrefix="0" xfId="0">
      <alignment vertical="center" wrapText="1"/>
    </xf>
    <xf numFmtId="1" fontId="2" fillId="3" borderId="57" applyAlignment="1" pivotButton="0" quotePrefix="0" xfId="0">
      <alignment vertical="center" wrapText="1"/>
    </xf>
    <xf numFmtId="0" fontId="4" fillId="4" borderId="0" applyAlignment="1" pivotButton="0" quotePrefix="0" xfId="0">
      <alignment vertical="center" wrapText="1"/>
    </xf>
    <xf numFmtId="0" fontId="0" fillId="0" borderId="0" applyAlignment="1" pivotButton="0" quotePrefix="0" xfId="0">
      <alignment vertical="center"/>
    </xf>
    <xf numFmtId="0" fontId="5" fillId="0" borderId="0" applyAlignment="1" pivotButton="0" quotePrefix="0" xfId="0">
      <alignment vertical="center" wrapText="1"/>
    </xf>
    <xf numFmtId="1" fontId="2" fillId="3" borderId="0" applyAlignment="1" pivotButton="0" quotePrefix="0" xfId="0">
      <alignment vertical="center" wrapText="1"/>
    </xf>
    <xf numFmtId="164" fontId="2" fillId="3" borderId="57" applyAlignment="1" pivotButton="0" quotePrefix="0" xfId="0">
      <alignment vertical="center" wrapText="1"/>
    </xf>
    <xf numFmtId="0" fontId="2" fillId="3" borderId="54" applyAlignment="1" pivotButton="0" quotePrefix="0" xfId="0">
      <alignment vertical="center" wrapText="1"/>
    </xf>
    <xf numFmtId="0" fontId="0" fillId="0" borderId="55" applyAlignment="1" pivotButton="0" quotePrefix="0" xfId="0">
      <alignment vertical="center"/>
    </xf>
    <xf numFmtId="0" fontId="0" fillId="0" borderId="56" applyAlignment="1" pivotButton="0" quotePrefix="0" xfId="0">
      <alignment vertical="center"/>
    </xf>
    <xf numFmtId="0" fontId="3" fillId="3" borderId="58" applyAlignment="1" pivotButton="0" quotePrefix="0" xfId="0">
      <alignment vertical="center" wrapText="1"/>
    </xf>
    <xf numFmtId="0" fontId="2" fillId="3" borderId="59" applyAlignment="1" pivotButton="0" quotePrefix="0" xfId="0">
      <alignment vertical="center" wrapText="1"/>
    </xf>
    <xf numFmtId="0" fontId="2" fillId="3" borderId="60" applyAlignment="1" pivotButton="0" quotePrefix="0" xfId="0">
      <alignment vertical="center" wrapText="1"/>
    </xf>
    <xf numFmtId="0" fontId="2" fillId="3" borderId="61" applyAlignment="1" pivotButton="0" quotePrefix="0" xfId="0">
      <alignment vertical="center" wrapText="1"/>
    </xf>
    <xf numFmtId="0" fontId="2" fillId="3" borderId="9" applyAlignment="1" pivotButton="0" quotePrefix="0" xfId="0">
      <alignment vertical="center" wrapText="1"/>
    </xf>
    <xf numFmtId="0" fontId="2" fillId="3" borderId="62" applyAlignment="1" pivotButton="0" quotePrefix="0" xfId="0">
      <alignment vertical="center" wrapText="1"/>
    </xf>
    <xf numFmtId="0" fontId="2" fillId="3" borderId="63" applyAlignment="1" pivotButton="0" quotePrefix="0" xfId="0">
      <alignment vertical="center" wrapText="1"/>
    </xf>
    <xf numFmtId="0" fontId="2" fillId="3" borderId="64" applyAlignment="1" pivotButton="0" quotePrefix="0" xfId="0">
      <alignment vertical="center" wrapText="1"/>
    </xf>
    <xf numFmtId="0" fontId="2" fillId="3" borderId="65" applyAlignment="1" pivotButton="0" quotePrefix="0" xfId="0">
      <alignment vertical="center" wrapText="1"/>
    </xf>
    <xf numFmtId="1" fontId="2" fillId="3" borderId="70" applyAlignment="1" pivotButton="0" quotePrefix="0" xfId="0">
      <alignment vertical="center" wrapText="1"/>
    </xf>
    <xf numFmtId="164" fontId="2" fillId="3" borderId="70" applyAlignment="1" pivotButton="0" quotePrefix="0" xfId="0">
      <alignment vertical="center" wrapText="1"/>
    </xf>
    <xf numFmtId="0" fontId="2" fillId="3" borderId="67" applyAlignment="1" pivotButton="0" quotePrefix="0" xfId="0">
      <alignment vertical="center" wrapText="1"/>
    </xf>
    <xf numFmtId="0" fontId="0" fillId="0" borderId="68" applyAlignment="1" pivotButton="0" quotePrefix="0" xfId="0">
      <alignment vertical="center"/>
    </xf>
    <xf numFmtId="0" fontId="0" fillId="0" borderId="69" applyAlignment="1" pivotButton="0" quotePrefix="0" xfId="0">
      <alignment vertical="center"/>
    </xf>
    <xf numFmtId="0" fontId="3" fillId="3" borderId="71" applyAlignment="1" pivotButton="0" quotePrefix="0" xfId="0">
      <alignment vertical="center" wrapText="1"/>
    </xf>
    <xf numFmtId="0" fontId="2" fillId="3" borderId="72" applyAlignment="1" pivotButton="0" quotePrefix="0" xfId="0">
      <alignment vertical="center" wrapText="1"/>
    </xf>
    <xf numFmtId="0" fontId="2" fillId="3" borderId="73" applyAlignment="1" pivotButton="0" quotePrefix="0" xfId="0">
      <alignment vertical="center" wrapText="1"/>
    </xf>
    <xf numFmtId="0" fontId="2" fillId="3" borderId="74" applyAlignment="1" pivotButton="0" quotePrefix="0" xfId="0">
      <alignment vertical="center" wrapText="1"/>
    </xf>
    <xf numFmtId="0" fontId="2" fillId="3" borderId="75" applyAlignment="1" pivotButton="0" quotePrefix="0" xfId="0">
      <alignment vertical="center" wrapText="1"/>
    </xf>
    <xf numFmtId="0" fontId="2" fillId="3" borderId="76" applyAlignment="1" pivotButton="0" quotePrefix="0" xfId="0">
      <alignment vertical="center" wrapText="1"/>
    </xf>
    <xf numFmtId="0" fontId="2" fillId="3" borderId="77" applyAlignment="1" pivotButton="0" quotePrefix="0" xfId="0">
      <alignment vertical="center" wrapText="1"/>
    </xf>
    <xf numFmtId="0" fontId="2" fillId="3" borderId="78" applyAlignment="1" pivotButton="0" quotePrefix="0" xfId="0">
      <alignment vertical="center" wrapText="1"/>
    </xf>
    <xf numFmtId="2" fontId="2" fillId="3" borderId="57" applyAlignment="1" pivotButton="0" quotePrefix="0" xfId="0">
      <alignment vertical="center" wrapText="1"/>
    </xf>
    <xf numFmtId="2" fontId="2" fillId="3" borderId="70" applyAlignment="1" pivotButton="0" quotePrefix="0" xfId="0">
      <alignment vertical="center" wrapText="1"/>
    </xf>
    <xf numFmtId="1" fontId="2" fillId="2" borderId="0" applyAlignment="1" pivotButton="0" quotePrefix="0" xfId="0">
      <alignment vertical="center" wrapText="1"/>
    </xf>
    <xf numFmtId="165" fontId="2" fillId="2" borderId="0" applyAlignment="1" pivotButton="0" quotePrefix="0" xfId="0">
      <alignment vertical="center" wrapText="1"/>
    </xf>
    <xf numFmtId="165" fontId="2" fillId="3" borderId="57" applyAlignment="1" pivotButton="0" quotePrefix="0" xfId="0">
      <alignment vertical="center" wrapText="1"/>
    </xf>
    <xf numFmtId="165" fontId="2" fillId="3" borderId="0" applyAlignment="1" pivotButton="0" quotePrefix="0" xfId="0">
      <alignment vertical="center" wrapText="1"/>
    </xf>
    <xf numFmtId="165" fontId="2" fillId="3" borderId="70" applyAlignment="1" pivotButton="0" quotePrefix="0" xfId="0">
      <alignment vertical="center" wrapText="1"/>
    </xf>
    <xf numFmtId="164" fontId="2" fillId="2" borderId="0" applyAlignment="1" pivotButton="0" quotePrefix="0" xfId="0">
      <alignment vertical="center" wrapText="1"/>
    </xf>
    <xf numFmtId="166" fontId="2" fillId="3" borderId="57" applyAlignment="1" pivotButton="0" quotePrefix="0" xfId="0">
      <alignment vertical="center" wrapText="1"/>
    </xf>
    <xf numFmtId="166" fontId="2" fillId="3" borderId="0" applyAlignment="1" pivotButton="0" quotePrefix="0" xfId="0">
      <alignment vertical="center" wrapText="1"/>
    </xf>
    <xf numFmtId="166" fontId="2" fillId="3" borderId="70" applyAlignment="1" pivotButton="0" quotePrefix="0" xfId="0">
      <alignment vertical="center" wrapText="1"/>
    </xf>
    <xf numFmtId="0" fontId="51" fillId="30" borderId="79" xfId="0"/>
    <xf numFmtId="0" fontId="52" fillId="30" borderId="79" xfId="0" applyNumberFormat="1" applyFont="1" applyFill="1" applyBorder="1"/>
    <xf numFmtId="0" fontId="52" fillId="30" borderId="79" xfId="0" applyNumberFormat="1" applyFont="1" applyFill="1" applyBorder="1" applyAlignment="1">
      <alignment wrapText="1"/>
    </xf>
    <xf numFmtId="0" fontId="52" fillId="30" borderId="79" xfId="0" applyNumberFormat="1" applyFont="1" applyFill="1" applyBorder="1" applyAlignment="1">
      <alignment vertical="center" wrapText="1"/>
    </xf>
    <xf numFmtId="0" fontId="53" fillId="30" borderId="79" xfId="0" applyNumberFormat="1" applyFont="1" applyFill="1" applyBorder="1" applyAlignment="1">
      <alignment vertical="center" wrapText="1"/>
    </xf>
    <xf numFmtId="0" fontId="54" fillId="30" borderId="79" xfId="0" applyNumberFormat="1" applyFont="1" applyFill="1" applyBorder="1" applyAlignment="1">
      <alignment vertical="center" wrapText="1"/>
    </xf>
    <xf numFmtId="0" fontId="52" fillId="32" borderId="79" xfId="0" applyNumberFormat="1" applyFont="1" applyFill="1" applyBorder="1" applyAlignment="1">
      <alignment vertical="center" wrapText="1"/>
    </xf>
    <xf numFmtId="0" fontId="52" fillId="32" borderId="80" xfId="0" applyNumberFormat="1" applyFont="1" applyFill="1" applyBorder="1" applyAlignment="1">
      <alignment vertical="center" wrapText="1"/>
    </xf>
    <xf numFmtId="0" fontId="52" fillId="32" borderId="81" xfId="0" applyNumberFormat="1" applyFont="1" applyFill="1" applyBorder="1" applyAlignment="1">
      <alignment vertical="center" wrapText="1"/>
    </xf>
    <xf numFmtId="0" fontId="52" fillId="32" borderId="82" xfId="0" applyNumberFormat="1" applyFont="1" applyFill="1" applyBorder="1" applyAlignment="1">
      <alignment vertical="center" wrapText="1"/>
    </xf>
    <xf numFmtId="0" fontId="55" fillId="30" borderId="79" xfId="0" applyNumberFormat="1" applyFont="1" applyFill="1" applyBorder="1" applyAlignment="1">
      <alignment vertical="center" wrapText="1"/>
    </xf>
    <xf numFmtId="0" fontId="52" fillId="33" borderId="79" xfId="0" applyNumberFormat="1" applyFont="1" applyFill="1" applyBorder="1" applyAlignment="1">
      <alignment vertical="center" wrapText="1"/>
    </xf>
    <xf numFmtId="0" fontId="56" fillId="30" borderId="79" xfId="0" applyNumberFormat="1" applyFont="1" applyFill="1" applyBorder="1" applyAlignment="1">
      <alignment vertical="center" wrapText="1"/>
    </xf>
    <xf numFmtId="0" fontId="57" fillId="30" borderId="79" xfId="0" applyNumberFormat="1" applyFont="1" applyFill="1" applyBorder="1"/>
    <xf numFmtId="0" fontId="57" fillId="30" borderId="79" xfId="0" applyNumberFormat="1" applyFont="1" applyFill="1" applyBorder="1" applyAlignment="1">
      <alignment wrapText="1"/>
    </xf>
    <xf numFmtId="0" fontId="57" fillId="30" borderId="79" xfId="0" applyNumberFormat="1" applyFont="1" applyFill="1" applyBorder="1" applyAlignment="1">
      <alignment vertical="center" wrapText="1"/>
    </xf>
    <xf numFmtId="0" fontId="58" fillId="30" borderId="79" xfId="0" applyNumberFormat="1" applyFont="1" applyFill="1" applyBorder="1" applyAlignment="1">
      <alignment vertical="center" wrapText="1"/>
    </xf>
    <xf numFmtId="0" fontId="51" fillId="30" borderId="83" xfId="0" applyNumberFormat="1" applyFont="1" applyFill="1" applyBorder="1"/>
    <xf numFmtId="0" fontId="51" fillId="30" borderId="80" xfId="0" applyNumberFormat="1" applyFont="1" applyFill="1" applyBorder="1"/>
    <xf numFmtId="0" fontId="51" fillId="30" borderId="81" xfId="0" applyNumberFormat="1" applyFont="1" applyFill="1" applyBorder="1"/>
    <xf numFmtId="0" fontId="51" fillId="30" borderId="82" xfId="0" applyNumberFormat="1" applyFont="1" applyFill="1" applyBorder="1"/>
    <xf numFmtId="0" fontId="51" fillId="30" borderId="84" xfId="0" applyNumberFormat="1" applyFont="1" applyFill="1" applyBorder="1"/>
    <xf numFmtId="0" fontId="51" fillId="30" borderId="85" xfId="0" applyNumberFormat="1" applyFont="1" applyFill="1" applyBorder="1"/>
    <xf numFmtId="0" fontId="51" fillId="30" borderId="86" xfId="0" applyNumberFormat="1" applyFont="1" applyFill="1" applyBorder="1"/>
    <xf numFmtId="0" fontId="51" fillId="30" borderId="87" xfId="0" applyNumberFormat="1" applyFont="1" applyFill="1" applyBorder="1"/>
    <xf numFmtId="0" fontId="51" fillId="30" borderId="79" xfId="0" applyNumberFormat="1" applyFont="1" applyFill="1" applyBorder="1"/>
    <xf numFmtId="0" fontId="51" fillId="30" borderId="88" xfId="0" applyNumberFormat="1" applyFont="1" applyFill="1" applyBorder="1"/>
    <xf numFmtId="0" fontId="51" fillId="30" borderId="89" xfId="0" applyNumberFormat="1" applyFont="1" applyFill="1" applyBorder="1"/>
    <xf numFmtId="0" fontId="51" fillId="30" borderId="90" xfId="0" applyNumberFormat="1" applyFont="1" applyFill="1" applyBorder="1"/>
    <xf numFmtId="0" fontId="51" fillId="30" borderId="91" xfId="0" applyNumberFormat="1" applyFont="1" applyFill="1" applyBorder="1"/>
    <xf numFmtId="0" fontId="57" fillId="34" borderId="79" xfId="0" applyNumberFormat="1" applyFont="1" applyFill="1" applyBorder="1" applyAlignment="1">
      <alignment vertical="center" wrapText="1"/>
    </xf>
    <xf numFmtId="0" fontId="51" fillId="34" borderId="79" xfId="0" applyNumberFormat="1" applyFont="1" applyFill="1" applyBorder="1"/>
    <xf numFmtId="0" fontId="1" fillId="0" borderId="0" applyAlignment="1" pivotButton="0" quotePrefix="0" xfId="0">
      <alignment vertical="center" wrapText="1"/>
    </xf>
    <xf numFmtId="0" fontId="2" fillId="0" borderId="0" applyAlignment="1" pivotButton="0" quotePrefix="0" xfId="0">
      <alignment vertical="center" wrapText="1"/>
    </xf>
    <xf numFmtId="0" fontId="2" fillId="2" borderId="0" applyAlignment="1" pivotButton="0" quotePrefix="0" xfId="0">
      <alignment vertical="center" wrapText="1"/>
    </xf>
    <xf numFmtId="1" fontId="2" fillId="3" borderId="70" applyAlignment="1" pivotButton="0" quotePrefix="0" xfId="0">
      <alignment vertical="center" wrapText="1"/>
    </xf>
    <xf numFmtId="0" fontId="4" fillId="4" borderId="0" applyAlignment="1" pivotButton="0" quotePrefix="0" xfId="0">
      <alignment vertical="center" wrapText="1"/>
    </xf>
    <xf numFmtId="0" fontId="0" fillId="0" borderId="0" applyAlignment="1" pivotButton="0" quotePrefix="0" xfId="0">
      <alignment vertical="center"/>
    </xf>
    <xf numFmtId="0" fontId="5" fillId="0" borderId="0" applyAlignment="1" pivotButton="0" quotePrefix="0" xfId="0">
      <alignment vertical="center" wrapText="1"/>
    </xf>
    <xf numFmtId="1" fontId="2" fillId="3" borderId="0" applyAlignment="1" pivotButton="0" quotePrefix="0" xfId="0">
      <alignment vertical="center" wrapText="1"/>
    </xf>
    <xf numFmtId="164" fontId="2" fillId="3" borderId="70" applyAlignment="1" pivotButton="0" quotePrefix="0" xfId="0">
      <alignment vertical="center" wrapText="1"/>
    </xf>
    <xf numFmtId="0" fontId="2" fillId="3" borderId="67" applyAlignment="1" pivotButton="0" quotePrefix="0" xfId="0">
      <alignment vertical="center" wrapText="1"/>
    </xf>
    <xf numFmtId="0" fontId="0" fillId="0" borderId="68" applyAlignment="1" pivotButton="0" quotePrefix="0" xfId="0">
      <alignment vertical="center"/>
    </xf>
    <xf numFmtId="0" fontId="0" fillId="0" borderId="69" applyAlignment="1" pivotButton="0" quotePrefix="0" xfId="0">
      <alignment vertical="center"/>
    </xf>
    <xf numFmtId="0" fontId="3" fillId="3" borderId="71" applyAlignment="1" pivotButton="0" quotePrefix="0" xfId="0">
      <alignment vertical="center" wrapText="1"/>
    </xf>
    <xf numFmtId="0" fontId="2" fillId="3" borderId="72" applyAlignment="1" pivotButton="0" quotePrefix="0" xfId="0">
      <alignment vertical="center" wrapText="1"/>
    </xf>
    <xf numFmtId="0" fontId="2" fillId="3" borderId="73" applyAlignment="1" pivotButton="0" quotePrefix="0" xfId="0">
      <alignment vertical="center" wrapText="1"/>
    </xf>
    <xf numFmtId="0" fontId="2" fillId="3" borderId="74" applyAlignment="1" pivotButton="0" quotePrefix="0" xfId="0">
      <alignment vertical="center" wrapText="1"/>
    </xf>
    <xf numFmtId="0" fontId="2" fillId="3" borderId="9" applyAlignment="1" pivotButton="0" quotePrefix="0" xfId="0">
      <alignment vertical="center" wrapText="1"/>
    </xf>
    <xf numFmtId="0" fontId="2" fillId="3" borderId="75" applyAlignment="1" pivotButton="0" quotePrefix="0" xfId="0">
      <alignment vertical="center" wrapText="1"/>
    </xf>
    <xf numFmtId="0" fontId="2" fillId="3" borderId="76" applyAlignment="1" pivotButton="0" quotePrefix="0" xfId="0">
      <alignment vertical="center" wrapText="1"/>
    </xf>
    <xf numFmtId="0" fontId="2" fillId="3" borderId="77" applyAlignment="1" pivotButton="0" quotePrefix="0" xfId="0">
      <alignment vertical="center" wrapText="1"/>
    </xf>
    <xf numFmtId="0" fontId="2" fillId="3" borderId="78" applyAlignment="1" pivotButton="0" quotePrefix="0" xfId="0">
      <alignment vertical="center" wrapText="1"/>
    </xf>
    <xf numFmtId="1" fontId="2" fillId="3" borderId="83" applyAlignment="1" pivotButton="0" quotePrefix="0" xfId="0">
      <alignment vertical="center" wrapText="1"/>
    </xf>
    <xf numFmtId="164" fontId="2" fillId="3" borderId="83" applyAlignment="1" pivotButton="0" quotePrefix="0" xfId="0">
      <alignment vertical="center" wrapText="1"/>
    </xf>
    <xf numFmtId="0" fontId="2" fillId="3" borderId="80" applyAlignment="1" pivotButton="0" quotePrefix="0" xfId="0">
      <alignment vertical="center" wrapText="1"/>
    </xf>
    <xf numFmtId="0" fontId="0" fillId="0" borderId="81" applyAlignment="1" pivotButton="0" quotePrefix="0" xfId="0">
      <alignment vertical="center"/>
    </xf>
    <xf numFmtId="0" fontId="0" fillId="0" borderId="82" applyAlignment="1" pivotButton="0" quotePrefix="0" xfId="0">
      <alignment vertical="center"/>
    </xf>
    <xf numFmtId="0" fontId="3" fillId="3" borderId="84" applyAlignment="1" pivotButton="0" quotePrefix="0" xfId="0">
      <alignment vertical="center" wrapText="1"/>
    </xf>
    <xf numFmtId="0" fontId="2" fillId="3" borderId="85" applyAlignment="1" pivotButton="0" quotePrefix="0" xfId="0">
      <alignment vertical="center" wrapText="1"/>
    </xf>
    <xf numFmtId="0" fontId="2" fillId="3" borderId="86" applyAlignment="1" pivotButton="0" quotePrefix="0" xfId="0">
      <alignment vertical="center" wrapText="1"/>
    </xf>
    <xf numFmtId="0" fontId="2" fillId="3" borderId="87" applyAlignment="1" pivotButton="0" quotePrefix="0" xfId="0">
      <alignment vertical="center" wrapText="1"/>
    </xf>
    <xf numFmtId="0" fontId="2" fillId="3" borderId="88" applyAlignment="1" pivotButton="0" quotePrefix="0" xfId="0">
      <alignment vertical="center" wrapText="1"/>
    </xf>
    <xf numFmtId="0" fontId="2" fillId="3" borderId="89" applyAlignment="1" pivotButton="0" quotePrefix="0" xfId="0">
      <alignment vertical="center" wrapText="1"/>
    </xf>
    <xf numFmtId="0" fontId="2" fillId="3" borderId="90" applyAlignment="1" pivotButton="0" quotePrefix="0" xfId="0">
      <alignment vertical="center" wrapText="1"/>
    </xf>
    <xf numFmtId="0" fontId="2" fillId="3" borderId="91" applyAlignment="1" pivotButton="0" quotePrefix="0" xfId="0">
      <alignment vertical="center" wrapText="1"/>
    </xf>
    <xf numFmtId="2" fontId="2" fillId="3" borderId="70" applyAlignment="1" pivotButton="0" quotePrefix="0" xfId="0">
      <alignment vertical="center" wrapText="1"/>
    </xf>
    <xf numFmtId="2" fontId="2" fillId="3" borderId="83" applyAlignment="1" pivotButton="0" quotePrefix="0" xfId="0">
      <alignment vertical="center" wrapText="1"/>
    </xf>
    <xf numFmtId="1" fontId="2" fillId="2" borderId="0" applyAlignment="1" pivotButton="0" quotePrefix="0" xfId="0">
      <alignment vertical="center" wrapText="1"/>
    </xf>
    <xf numFmtId="165" fontId="2" fillId="2" borderId="0" applyAlignment="1" pivotButton="0" quotePrefix="0" xfId="0">
      <alignment vertical="center" wrapText="1"/>
    </xf>
    <xf numFmtId="165" fontId="2" fillId="3" borderId="70" applyAlignment="1" pivotButton="0" quotePrefix="0" xfId="0">
      <alignment vertical="center" wrapText="1"/>
    </xf>
    <xf numFmtId="165" fontId="2" fillId="3" borderId="0" applyAlignment="1" pivotButton="0" quotePrefix="0" xfId="0">
      <alignment vertical="center" wrapText="1"/>
    </xf>
    <xf numFmtId="165" fontId="2" fillId="3" borderId="83" applyAlignment="1" pivotButton="0" quotePrefix="0" xfId="0">
      <alignment vertical="center" wrapText="1"/>
    </xf>
    <xf numFmtId="164" fontId="2" fillId="2" borderId="0" applyAlignment="1" pivotButton="0" quotePrefix="0" xfId="0">
      <alignment vertical="center" wrapText="1"/>
    </xf>
    <xf numFmtId="166" fontId="2" fillId="3" borderId="70" applyAlignment="1" pivotButton="0" quotePrefix="0" xfId="0">
      <alignment vertical="center" wrapText="1"/>
    </xf>
    <xf numFmtId="166" fontId="2" fillId="3" borderId="0" applyAlignment="1" pivotButton="0" quotePrefix="0" xfId="0">
      <alignment vertical="center" wrapText="1"/>
    </xf>
    <xf numFmtId="166" fontId="2" fillId="3" borderId="83" applyAlignment="1" pivotButton="0" quotePrefix="0" xfId="0">
      <alignment vertical="center" wrapText="1"/>
    </xf>
    <xf numFmtId="0" fontId="59" fillId="35" borderId="92" xfId="0"/>
    <xf numFmtId="0" fontId="60" fillId="35" borderId="92" xfId="0" applyNumberFormat="1" applyFont="1" applyFill="1" applyBorder="1"/>
    <xf numFmtId="0" fontId="60" fillId="35" borderId="92" xfId="0" applyNumberFormat="1" applyFont="1" applyFill="1" applyBorder="1" applyAlignment="1">
      <alignment wrapText="1"/>
    </xf>
    <xf numFmtId="0" fontId="60" fillId="35" borderId="92" xfId="0" applyNumberFormat="1" applyFont="1" applyFill="1" applyBorder="1" applyAlignment="1">
      <alignment vertical="center" wrapText="1"/>
    </xf>
    <xf numFmtId="0" fontId="61" fillId="35" borderId="92" xfId="0" applyNumberFormat="1" applyFont="1" applyFill="1" applyBorder="1" applyAlignment="1">
      <alignment vertical="center" wrapText="1"/>
    </xf>
    <xf numFmtId="0" fontId="62" fillId="35" borderId="92" xfId="0" applyNumberFormat="1" applyFont="1" applyFill="1" applyBorder="1" applyAlignment="1">
      <alignment vertical="center" wrapText="1"/>
    </xf>
    <xf numFmtId="0" fontId="60" fillId="37" borderId="92" xfId="0" applyNumberFormat="1" applyFont="1" applyFill="1" applyBorder="1" applyAlignment="1">
      <alignment vertical="center" wrapText="1"/>
    </xf>
    <xf numFmtId="0" fontId="60" fillId="37" borderId="93" xfId="0" applyNumberFormat="1" applyFont="1" applyFill="1" applyBorder="1" applyAlignment="1">
      <alignment vertical="center" wrapText="1"/>
    </xf>
    <xf numFmtId="0" fontId="60" fillId="37" borderId="94" xfId="0" applyNumberFormat="1" applyFont="1" applyFill="1" applyBorder="1" applyAlignment="1">
      <alignment vertical="center" wrapText="1"/>
    </xf>
    <xf numFmtId="0" fontId="60" fillId="37" borderId="95" xfId="0" applyNumberFormat="1" applyFont="1" applyFill="1" applyBorder="1" applyAlignment="1">
      <alignment vertical="center" wrapText="1"/>
    </xf>
    <xf numFmtId="0" fontId="63" fillId="35" borderId="92" xfId="0" applyNumberFormat="1" applyFont="1" applyFill="1" applyBorder="1" applyAlignment="1">
      <alignment vertical="center" wrapText="1"/>
    </xf>
    <xf numFmtId="0" fontId="60" fillId="38" borderId="92" xfId="0" applyNumberFormat="1" applyFont="1" applyFill="1" applyBorder="1" applyAlignment="1">
      <alignment vertical="center" wrapText="1"/>
    </xf>
    <xf numFmtId="0" fontId="64" fillId="35" borderId="92" xfId="0" applyNumberFormat="1" applyFont="1" applyFill="1" applyBorder="1" applyAlignment="1">
      <alignment vertical="center" wrapText="1"/>
    </xf>
    <xf numFmtId="0" fontId="65" fillId="35" borderId="92" xfId="0" applyNumberFormat="1" applyFont="1" applyFill="1" applyBorder="1"/>
    <xf numFmtId="0" fontId="65" fillId="35" borderId="92" xfId="0" applyNumberFormat="1" applyFont="1" applyFill="1" applyBorder="1" applyAlignment="1">
      <alignment wrapText="1"/>
    </xf>
    <xf numFmtId="0" fontId="65" fillId="35" borderId="92" xfId="0" applyNumberFormat="1" applyFont="1" applyFill="1" applyBorder="1" applyAlignment="1">
      <alignment vertical="center" wrapText="1"/>
    </xf>
    <xf numFmtId="0" fontId="66" fillId="35" borderId="92" xfId="0" applyNumberFormat="1" applyFont="1" applyFill="1" applyBorder="1" applyAlignment="1">
      <alignment vertical="center" wrapText="1"/>
    </xf>
    <xf numFmtId="0" fontId="59" fillId="35" borderId="96" xfId="0" applyNumberFormat="1" applyFont="1" applyFill="1" applyBorder="1"/>
    <xf numFmtId="0" fontId="59" fillId="35" borderId="93" xfId="0" applyNumberFormat="1" applyFont="1" applyFill="1" applyBorder="1"/>
    <xf numFmtId="0" fontId="59" fillId="35" borderId="94" xfId="0" applyNumberFormat="1" applyFont="1" applyFill="1" applyBorder="1"/>
    <xf numFmtId="0" fontId="59" fillId="35" borderId="95" xfId="0" applyNumberFormat="1" applyFont="1" applyFill="1" applyBorder="1"/>
    <xf numFmtId="0" fontId="59" fillId="35" borderId="97" xfId="0" applyNumberFormat="1" applyFont="1" applyFill="1" applyBorder="1"/>
    <xf numFmtId="0" fontId="59" fillId="35" borderId="98" xfId="0" applyNumberFormat="1" applyFont="1" applyFill="1" applyBorder="1"/>
    <xf numFmtId="0" fontId="59" fillId="35" borderId="99" xfId="0" applyNumberFormat="1" applyFont="1" applyFill="1" applyBorder="1"/>
    <xf numFmtId="0" fontId="59" fillId="35" borderId="100" xfId="0" applyNumberFormat="1" applyFont="1" applyFill="1" applyBorder="1"/>
    <xf numFmtId="0" fontId="59" fillId="35" borderId="92" xfId="0" applyNumberFormat="1" applyFont="1" applyFill="1" applyBorder="1"/>
    <xf numFmtId="0" fontId="59" fillId="35" borderId="101" xfId="0" applyNumberFormat="1" applyFont="1" applyFill="1" applyBorder="1"/>
    <xf numFmtId="0" fontId="59" fillId="35" borderId="102" xfId="0" applyNumberFormat="1" applyFont="1" applyFill="1" applyBorder="1"/>
    <xf numFmtId="0" fontId="59" fillId="35" borderId="103" xfId="0" applyNumberFormat="1" applyFont="1" applyFill="1" applyBorder="1"/>
    <xf numFmtId="0" fontId="59" fillId="35" borderId="104" xfId="0" applyNumberFormat="1" applyFont="1" applyFill="1" applyBorder="1"/>
    <xf numFmtId="0" fontId="65" fillId="39" borderId="92" xfId="0" applyNumberFormat="1" applyFont="1" applyFill="1" applyBorder="1" applyAlignment="1">
      <alignment vertical="center" wrapText="1"/>
    </xf>
    <xf numFmtId="0" fontId="59" fillId="39" borderId="92" xfId="0" applyNumberFormat="1" applyFont="1" applyFill="1" applyBorder="1"/>
    <xf numFmtId="0" fontId="1" fillId="0" borderId="0" applyAlignment="1" pivotButton="0" quotePrefix="0" xfId="0">
      <alignment vertical="center" wrapText="1"/>
    </xf>
    <xf numFmtId="0" fontId="2" fillId="0" borderId="0" applyAlignment="1" pivotButton="0" quotePrefix="0" xfId="0">
      <alignment vertical="center" wrapText="1"/>
    </xf>
    <xf numFmtId="0" fontId="2" fillId="2" borderId="0" applyAlignment="1" pivotButton="0" quotePrefix="0" xfId="0">
      <alignment vertical="center" wrapText="1"/>
    </xf>
    <xf numFmtId="1" fontId="2" fillId="3" borderId="83" applyAlignment="1" pivotButton="0" quotePrefix="0" xfId="0">
      <alignment vertical="center" wrapText="1"/>
    </xf>
    <xf numFmtId="0" fontId="4" fillId="4" borderId="0" applyAlignment="1" pivotButton="0" quotePrefix="0" xfId="0">
      <alignment vertical="center" wrapText="1"/>
    </xf>
    <xf numFmtId="0" fontId="0" fillId="0" borderId="0" applyAlignment="1" pivotButton="0" quotePrefix="0" xfId="0">
      <alignment vertical="center"/>
    </xf>
    <xf numFmtId="0" fontId="5" fillId="0" borderId="0" applyAlignment="1" pivotButton="0" quotePrefix="0" xfId="0">
      <alignment vertical="center" wrapText="1"/>
    </xf>
    <xf numFmtId="1" fontId="2" fillId="3" borderId="0" applyAlignment="1" pivotButton="0" quotePrefix="0" xfId="0">
      <alignment vertical="center" wrapText="1"/>
    </xf>
    <xf numFmtId="164" fontId="2" fillId="3" borderId="83" applyAlignment="1" pivotButton="0" quotePrefix="0" xfId="0">
      <alignment vertical="center" wrapText="1"/>
    </xf>
    <xf numFmtId="0" fontId="2" fillId="3" borderId="80" applyAlignment="1" pivotButton="0" quotePrefix="0" xfId="0">
      <alignment vertical="center" wrapText="1"/>
    </xf>
    <xf numFmtId="0" fontId="0" fillId="0" borderId="81" applyAlignment="1" pivotButton="0" quotePrefix="0" xfId="0">
      <alignment vertical="center"/>
    </xf>
    <xf numFmtId="0" fontId="0" fillId="0" borderId="82" applyAlignment="1" pivotButton="0" quotePrefix="0" xfId="0">
      <alignment vertical="center"/>
    </xf>
    <xf numFmtId="0" fontId="3" fillId="3" borderId="84" applyAlignment="1" pivotButton="0" quotePrefix="0" xfId="0">
      <alignment vertical="center" wrapText="1"/>
    </xf>
    <xf numFmtId="0" fontId="2" fillId="3" borderId="85" applyAlignment="1" pivotButton="0" quotePrefix="0" xfId="0">
      <alignment vertical="center" wrapText="1"/>
    </xf>
    <xf numFmtId="0" fontId="2" fillId="3" borderId="86" applyAlignment="1" pivotButton="0" quotePrefix="0" xfId="0">
      <alignment vertical="center" wrapText="1"/>
    </xf>
    <xf numFmtId="0" fontId="2" fillId="3" borderId="87" applyAlignment="1" pivotButton="0" quotePrefix="0" xfId="0">
      <alignment vertical="center" wrapText="1"/>
    </xf>
    <xf numFmtId="0" fontId="2" fillId="3" borderId="9" applyAlignment="1" pivotButton="0" quotePrefix="0" xfId="0">
      <alignment vertical="center" wrapText="1"/>
    </xf>
    <xf numFmtId="0" fontId="2" fillId="3" borderId="88" applyAlignment="1" pivotButton="0" quotePrefix="0" xfId="0">
      <alignment vertical="center" wrapText="1"/>
    </xf>
    <xf numFmtId="0" fontId="2" fillId="3" borderId="89" applyAlignment="1" pivotButton="0" quotePrefix="0" xfId="0">
      <alignment vertical="center" wrapText="1"/>
    </xf>
    <xf numFmtId="0" fontId="2" fillId="3" borderId="90" applyAlignment="1" pivotButton="0" quotePrefix="0" xfId="0">
      <alignment vertical="center" wrapText="1"/>
    </xf>
    <xf numFmtId="0" fontId="2" fillId="3" borderId="91" applyAlignment="1" pivotButton="0" quotePrefix="0" xfId="0">
      <alignment vertical="center" wrapText="1"/>
    </xf>
    <xf numFmtId="1" fontId="2" fillId="3" borderId="96" applyAlignment="1" pivotButton="0" quotePrefix="0" xfId="0">
      <alignment vertical="center" wrapText="1"/>
    </xf>
    <xf numFmtId="164" fontId="2" fillId="3" borderId="96" applyAlignment="1" pivotButton="0" quotePrefix="0" xfId="0">
      <alignment vertical="center" wrapText="1"/>
    </xf>
    <xf numFmtId="0" fontId="2" fillId="3" borderId="93" applyAlignment="1" pivotButton="0" quotePrefix="0" xfId="0">
      <alignment vertical="center" wrapText="1"/>
    </xf>
    <xf numFmtId="0" fontId="0" fillId="0" borderId="94" applyAlignment="1" pivotButton="0" quotePrefix="0" xfId="0">
      <alignment vertical="center"/>
    </xf>
    <xf numFmtId="0" fontId="0" fillId="0" borderId="95" applyAlignment="1" pivotButton="0" quotePrefix="0" xfId="0">
      <alignment vertical="center"/>
    </xf>
    <xf numFmtId="0" fontId="3" fillId="3" borderId="97" applyAlignment="1" pivotButton="0" quotePrefix="0" xfId="0">
      <alignment vertical="center" wrapText="1"/>
    </xf>
    <xf numFmtId="0" fontId="2" fillId="3" borderId="98" applyAlignment="1" pivotButton="0" quotePrefix="0" xfId="0">
      <alignment vertical="center" wrapText="1"/>
    </xf>
    <xf numFmtId="0" fontId="2" fillId="3" borderId="99" applyAlignment="1" pivotButton="0" quotePrefix="0" xfId="0">
      <alignment vertical="center" wrapText="1"/>
    </xf>
    <xf numFmtId="0" fontId="2" fillId="3" borderId="100" applyAlignment="1" pivotButton="0" quotePrefix="0" xfId="0">
      <alignment vertical="center" wrapText="1"/>
    </xf>
    <xf numFmtId="0" fontId="2" fillId="3" borderId="101" applyAlignment="1" pivotButton="0" quotePrefix="0" xfId="0">
      <alignment vertical="center" wrapText="1"/>
    </xf>
    <xf numFmtId="0" fontId="2" fillId="3" borderId="102" applyAlignment="1" pivotButton="0" quotePrefix="0" xfId="0">
      <alignment vertical="center" wrapText="1"/>
    </xf>
    <xf numFmtId="0" fontId="2" fillId="3" borderId="103" applyAlignment="1" pivotButton="0" quotePrefix="0" xfId="0">
      <alignment vertical="center" wrapText="1"/>
    </xf>
    <xf numFmtId="0" fontId="2" fillId="3" borderId="104" applyAlignment="1" pivotButton="0" quotePrefix="0" xfId="0">
      <alignment vertical="center" wrapText="1"/>
    </xf>
    <xf numFmtId="2" fontId="2" fillId="3" borderId="83" applyAlignment="1" pivotButton="0" quotePrefix="0" xfId="0">
      <alignment vertical="center" wrapText="1"/>
    </xf>
    <xf numFmtId="2" fontId="2" fillId="3" borderId="96" applyAlignment="1" pivotButton="0" quotePrefix="0" xfId="0">
      <alignment vertical="center" wrapText="1"/>
    </xf>
    <xf numFmtId="1" fontId="2" fillId="2" borderId="0" applyAlignment="1" pivotButton="0" quotePrefix="0" xfId="0">
      <alignment vertical="center" wrapText="1"/>
    </xf>
    <xf numFmtId="165" fontId="2" fillId="2" borderId="0" applyAlignment="1" pivotButton="0" quotePrefix="0" xfId="0">
      <alignment vertical="center" wrapText="1"/>
    </xf>
    <xf numFmtId="165" fontId="2" fillId="3" borderId="83" applyAlignment="1" pivotButton="0" quotePrefix="0" xfId="0">
      <alignment vertical="center" wrapText="1"/>
    </xf>
    <xf numFmtId="165" fontId="2" fillId="3" borderId="0" applyAlignment="1" pivotButton="0" quotePrefix="0" xfId="0">
      <alignment vertical="center" wrapText="1"/>
    </xf>
    <xf numFmtId="165" fontId="2" fillId="3" borderId="96" applyAlignment="1" pivotButton="0" quotePrefix="0" xfId="0">
      <alignment vertical="center" wrapText="1"/>
    </xf>
    <xf numFmtId="164" fontId="2" fillId="2" borderId="0" applyAlignment="1" pivotButton="0" quotePrefix="0" xfId="0">
      <alignment vertical="center" wrapText="1"/>
    </xf>
    <xf numFmtId="166" fontId="2" fillId="3" borderId="83" applyAlignment="1" pivotButton="0" quotePrefix="0" xfId="0">
      <alignment vertical="center" wrapText="1"/>
    </xf>
    <xf numFmtId="166" fontId="2" fillId="3" borderId="0" applyAlignment="1" pivotButton="0" quotePrefix="0" xfId="0">
      <alignment vertical="center" wrapText="1"/>
    </xf>
    <xf numFmtId="166" fontId="2" fillId="3" borderId="96" applyAlignment="1" pivotButton="0" quotePrefix="0" xfId="0">
      <alignment vertical="center" wrapText="1"/>
    </xf>
    <xf numFmtId="0" fontId="67" fillId="40" borderId="0" applyAlignment="1" pivotButton="0" quotePrefix="0" xfId="0" applyFont="1" applyFill="1">
      <alignment vertical="center" wrapText="1"/>
    </xf>
    <xf numFmtId="0" fontId="68" fillId="41" borderId="0" applyAlignment="1" pivotButton="0" quotePrefix="0" xfId="0" applyFont="1" applyFill="1">
      <alignment vertical="center" wrapText="1"/>
    </xf>
    <xf numFmtId="0" fontId="69" fillId="42" borderId="0" applyAlignment="1" pivotButton="0" quotePrefix="0" xfId="0" applyFont="1" applyFill="1">
      <alignment vertical="center" wrapText="1"/>
    </xf>
    <xf numFmtId="0" fontId="70" fillId="43" borderId="0" applyAlignment="1" pivotButton="0" quotePrefix="0" xfId="0" applyFont="1" applyFill="1">
      <alignment vertical="center" wrapText="1"/>
    </xf>
    <xf numFmtId="0" fontId="2" fillId="44" borderId="0" applyAlignment="1" pivotButton="0" quotePrefix="0" xfId="0" applyFill="1">
      <alignment vertical="center" wrapText="1"/>
    </xf>
    <xf numFmtId="1" fontId="71" fillId="3" borderId="96" applyAlignment="1" pivotButton="0" quotePrefix="0" xfId="0" applyFont="1">
      <alignment vertical="center" wrapText="1"/>
    </xf>
    <xf numFmtId="1" fontId="72" fillId="3" borderId="0" applyAlignment="1" pivotButton="0" quotePrefix="0" xfId="0" applyFont="1">
      <alignment vertical="center" wrapText="1"/>
    </xf>
    <xf numFmtId="0" fontId="73" fillId="45" borderId="0" applyAlignment="1" pivotButton="0" quotePrefix="0" xfId="0" applyFont="1" applyFill="1">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Lab guidance</author>
  </authors>
  <commentList>
    <comment ref="B7" authorId="0" shapeId="0">
      <text>
        <t>Lecture connection: Descriptive Frequency Tables
Why: Confirm that the complete supplied cohort is available before calculating screening probabilities.
How: ROWS counts entries in the structured AccountID column.
How: Cohort[AccountID] refers to every data row in that Excel table column.
Read the result: Read the result as a source-row count, not as a probability or complete-pair denominator.
Watch out: Do not count a manually selected partial range.
Already formatted: Number, 0 decimals, records; unrelated example only: a stored count of 7 displays as 7 records. Enter the formula and press Enter.</t>
      </text>
    </comment>
    <comment ref="B9" authorId="0" shapeId="0">
      <text>
        <t>Lecture connection: Contingency Table Probabilities
Why: Count each observed HighTickets and Churn category combination needed for the screening-risk table.
How: The first range and criterion match the row's HighTickets category.
How: The second range and criterion match the column's Churn category.
Read the result: Each filled cell is a record count for one joint category, excluding blanks from Yes and No.
Watch out: Do not convert blank categories to No.
Already formatted: Number, 0 decimals, records; unrelated example only: a stored count of 7 displays as 7 records. Enter the formula and press Enter.</t>
      </text>
    </comment>
    <comment ref="C9" authorId="0" shapeId="0">
      <text>
        <t>Lecture connection: Contingency Table Probabilities
Why: Count each observed HighTickets and Churn category combination needed for the screening-risk table.
How: The first range and criterion match the row's HighTickets category.
How: The second range and criterion match the column's Churn category.
Read the result: Each filled cell is a record count for one joint category, excluding blanks from Yes and No.
Watch out: Do not convert blank categories to No.
Already formatted: Number, 0 decimals, records; unrelated example only: a stored count of 7 displays as 7 records. Enter the formula and press Enter.</t>
      </text>
    </comment>
    <comment ref="D9" authorId="0" shapeId="0">
      <text>
        <t>Lecture connection: Contingency Table Probabilities
Why: Create the HighTickets row margins used as conditional denominators.
How: SUM adds the two observed Churn categories within the same HighTickets row.
Read the result: The result is the number of accounts in that ticket category with observed Churn.
Watch out: Do not include a blank-outcome count in the margin.
Already formatted: Number, 0 decimals, records; unrelated example only: a stored count of 7 displays as 7 records. Enter the formula and press Enter.</t>
      </text>
    </comment>
    <comment ref="B10" authorId="0" shapeId="0">
      <text>
        <t>Lecture connection: Contingency Table Probabilities
Why: Count each observed HighTickets and Churn category combination needed for the screening-risk table.
How: The first range and criterion match the row's HighTickets category.
How: The second range and criterion match the column's Churn category.
Read the result: Each filled cell is a record count for one joint category, excluding blanks from Yes and No.
Watch out: Do not convert blank categories to No.
Already formatted: Number, 0 decimals, records; unrelated example only: a stored count of 7 displays as 7 records. Enter the formula and press Enter.</t>
      </text>
    </comment>
    <comment ref="C10" authorId="0" shapeId="0">
      <text>
        <t>Lecture connection: Contingency Table Probabilities
Why: Count each observed HighTickets and Churn category combination needed for the screening-risk table.
How: The first range and criterion match the row's HighTickets category.
How: The second range and criterion match the column's Churn category.
Read the result: Each filled cell is a record count for one joint category, excluding blanks from Yes and No.
Watch out: Do not convert blank categories to No.
Already formatted: Number, 0 decimals, records; unrelated example only: a stored count of 7 displays as 7 records. Enter the formula and press Enter.</t>
      </text>
    </comment>
    <comment ref="B11" authorId="0" shapeId="0">
      <text>
        <t>Lecture connection: Contingency Table Probabilities
Why: Create column margins and the complete-pair analysis denominator.
How: SUM adds the two observed HighTickets categories within each column.
Read the result: D11 is the count of records where both categorical variables are observed.
Watch out: Do not assume the complete-pair count always equals the raw source-row count.
Already formatted: Number, 0 decimals, records; unrelated example only: a stored count of 7 displays as 7 records. Enter the formula and press Enter.</t>
      </text>
    </comment>
    <comment ref="C11" authorId="0" shapeId="0">
      <text>
        <t>Lecture connection: Contingency Table Probabilities
Why: Create column margins and the complete-pair analysis denominator.
How: SUM adds the two observed HighTickets categories within each column.
Read the result: D11 is the count of records where both categorical variables are observed.
Watch out: Do not assume the complete-pair count always equals the raw source-row count.
Already formatted: Number, 0 decimals, records; unrelated example only: a stored count of 7 displays as 7 records. Enter the formula and press Enter.</t>
      </text>
    </comment>
    <comment ref="D11" authorId="0" shapeId="0">
      <text>
        <t>Lecture connection: Contingency Table Probabilities
Why: Create column margins and the complete-pair analysis denominator.
How: SUM adds the two observed HighTickets categories within each column.
Read the result: D11 is the count of records where both categorical variables are observed.
Watch out: Do not assume the complete-pair count always equals the raw source-row count.
Already formatted: Number, 0 decimals, records; unrelated example only: a stored count of 7 displays as 7 records. Enter the formula and press Enter.</t>
      </text>
    </comment>
    <comment ref="B13" authorId="0" shapeId="0">
      <text>
        <t>Lecture connection: Contingency Table Probabilities
Why: Establish the recorded prior churn risk before using the high-ticket signal.
How: B11 is churned complete pairs.
How: D11 is all complete pairs and is the denominator.
Read the result: Read the stored fraction as the baseline churn percentage among complete recorded pairs.
Watch out: Do not divide by a ticket subgroup when calculating the baseline.
Already formatted: Percentage, 1 decimal; unrelated example only: a stored fraction of 0.125 displays as 12.5%; do not multiply by 100. Enter the formula and press Enter.</t>
      </text>
    </comment>
    <comment ref="B14" authorId="0" shapeId="0">
      <text>
        <t>Lecture connection: Contingency Table Probabilities
Why: Measure how frequently the recorded high-ticket signal appears among complete pairs.
How: D9 is the high-ticket complete-pair count.
How: D11 is the complete-pair analysis denominator.
Read the result: Read the result as the marginal high-ticket proportion among eligible records.
Watch out: Do not use all rows if Churn is missing.
Already formatted: Percentage, 1 decimal; unrelated example only: a stored fraction of 0.125 displays as 12.5%; do not multiply by 100. Enter the formula and press Enter.</t>
      </text>
    </comment>
    <comment ref="B15" authorId="0" shapeId="0">
      <text>
        <t>Lecture connection: Contingency Table Probabilities
Why: Measure the overlap between recorded churn and high-ticket activity.
How: B9 counts records where both categories are Yes.
How: D11 is all complete pairs.
Read the result: Read the result as the joint proportion of complete pairs meeting both conditions.
Watch out: Do not divide by only the high-ticket subgroup for a joint probability.
Already formatted: Percentage, 1 decimal; unrelated example only: a stored fraction of 0.125 displays as 12.5%; do not multiply by 100. Enter the formula and press Enter.</t>
      </text>
    </comment>
    <comment ref="B16" authorId="0" shapeId="0">
      <text>
        <t>Lecture connection: Contingency Table Probabilities
Why: Estimate the probability that either recorded event or both events occur.
How: Add the two marginal probabilities.
How: Subtract the joint overlap once to avoid double counting.
Read the result: Read the result as the union proportion among complete recorded pairs.
Watch out: Do not add the margins without subtracting their overlap.
Already formatted: Percentage, 1 decimal; unrelated example only: a stored fraction of 0.125 displays as 12.5%; do not multiply by 100. Enter the formula and press Enter.</t>
      </text>
    </comment>
    <comment ref="B17" authorId="0" shapeId="0">
      <text>
        <t>Lecture connection: Bayesian Updating
Why: Calculate the signal rate among churners so it can be distinguished from posterior churn risk.
How: B9 is the joint Yes-Yes count.
How: B11 is the count of churned complete pairs.
Read the result: Read the result as the high-ticket rate among churners, not churn risk among high-ticket accounts.
Watch out: Do not reverse the condition when reporting the stakeholder risk.
Already formatted: Percentage, 1 decimal; unrelated example only: a stored fraction of 0.125 displays as 12.5%; do not multiply by 100. Enter the formula and press Enter.</t>
      </text>
    </comment>
    <comment ref="B18" authorId="0" shapeId="0">
      <text>
        <t>Lecture connection: Bayesian Updating
Why: Estimate recorded churn risk after observing the high-ticket signal.
How: B9 is the churned high-ticket numerator.
How: D9 is all high-ticket accounts with observed Churn.
Read the result: Read the result as recorded churn risk within the eligible high-ticket subgroup.
Watch out: Do not use all source rows or the churned count as the denominator.
Already formatted: Percentage, 1 decimal; unrelated example only: a stored fraction of 0.125 displays as 12.5%; do not multiply by 100. Enter the formula and press Enter.</t>
      </text>
    </comment>
  </commentList>
</comments>
</file>

<file path=xl/comments/comment2.xml><?xml version="1.0" encoding="utf-8"?>
<comments xmlns="http://schemas.openxmlformats.org/spreadsheetml/2006/main">
  <authors>
    <author>Lab guidance</author>
  </authors>
  <commentList>
    <comment ref="B7" authorId="0" shapeId="0">
      <text>
        <t>Already formatted: Percentage, 1 decimal; unrelated example only: a stored fraction of 0.125 displays as 12.5%; enter a fraction, not a value multiplied by 100. Enter the formula and press Enter.</t>
      </text>
    </comment>
    <comment ref="C7" authorId="0" shapeId="0">
      <text>
        <t>Already formatted: Percentage, 1 decimal; unrelated example only: a stored fraction of 0.125 displays as 12.5%; enter a fraction, not a value multiplied by 100. Enter the formula and press Enter.</t>
      </text>
    </comment>
    <comment ref="D7" authorId="0" shapeId="0">
      <text>
        <t>Already formatted: Percentage, 1 decimal; unrelated example only: a stored fraction of 0.125 displays as 12.5%; enter a fraction, not a value multiplied by 100. Enter the formula and press Enter.</t>
      </text>
    </comment>
    <comment ref="B10" authorId="0" shapeId="0">
      <text>
        <t>Already formatted: Number, 2 decimals, million dollars; unrelated example only: a stored value of 2.346 displays as 2.35 million dollars. Enter the formula and press Enter.</t>
      </text>
    </comment>
    <comment ref="C10" authorId="0" shapeId="0">
      <text>
        <t>Already formatted: Number, 2 decimals, million dollars; unrelated example only: a stored value of 2.346 displays as 2.35 million dollars. Enter the formula and press Enter.</t>
      </text>
    </comment>
    <comment ref="D10" authorId="0" shapeId="0">
      <text>
        <t>Already formatted: Number, 2 decimals, million dollars; unrelated example only: a stored value of 2.346 displays as 2.35 million dollars. Enter the formula and press Enter.</t>
      </text>
    </comment>
    <comment ref="B11" authorId="0" shapeId="0">
      <text>
        <t>Already formatted: Number, 2 decimals, million dollars; unrelated example only: a stored value of 2.346 displays as 2.35 million dollars. Enter the formula and press Enter.</t>
      </text>
    </comment>
    <comment ref="C11" authorId="0" shapeId="0">
      <text>
        <t>Already formatted: Number, 2 decimals, million dollars; unrelated example only: a stored value of 2.346 displays as 2.35 million dollars. Enter the formula and press Enter.</t>
      </text>
    </comment>
    <comment ref="D11" authorId="0" shapeId="0">
      <text>
        <t>Already formatted: Number, 2 decimals, million dollars; unrelated example only: a stored value of 2.346 displays as 2.35 million dollars. Enter the formula and press Enter.</t>
      </text>
    </comment>
    <comment ref="D14" authorId="0" shapeId="0">
      <text>
        <t>Lecture connection: Expected Monetary Value
Why: Combine mutually exclusive demand probabilities with Large Hub payoffs.
How: The first range contains state probabilities.
How: The second range contains matching Large Hub payoffs.
Read the result: Read the result as a probability-weighted expectation in million dollars, not a guaranteed payoff.
Watch out: Do not misalign a probability with the wrong demand-state payoff.
Already formatted: Number, 2 decimals, million dollars; unrelated example only: a stored value of 2.346 displays as 2.35 million dollars. Enter the formula and press Enter.</t>
      </text>
    </comment>
    <comment ref="D15" authorId="0" shapeId="0">
      <text>
        <t>Lecture connection: Expected Monetary Value
Why: Combine the same demand probabilities with Modular Hub payoffs for a comparable valuation.
How: The absolute range preserves the common probability weights.
How: B11:D11 contains Modular Hub payoffs.
Read the result: Read the result as the branch's expected monetary value in million dollars.
Watch out: Do not describe EMV as the payoff that will occur in every state.
Already formatted: Number, 2 decimals, million dollars; unrelated example only: a stored value of 2.346 displays as 2.35 million dollars. Enter the formula and press Enter.</t>
      </text>
    </comment>
    <comment ref="D16" authorId="0" shapeId="0">
      <text>
        <t>Lecture connection: Decision Tree Rollback
Why: Retain the larger branch EMV at the risk-neutral decision node.
How: MAX compares the two completed branch EMVs.
Read the result: Read the value as the selected node expectation under the EMV criterion.
Watch out: Do not use the largest single-state payoff instead of the branch EMVs.
Already formatted: Number, 2 decimals, million dollars; unrelated example only: a stored value of 2.346 displays as 2.35 million dollars. Enter the formula and press Enter.</t>
      </text>
    </comment>
    <comment ref="D17" authorId="0" shapeId="0">
      <text>
        <t>Lecture connection: Decision Tree Rollback
Why: Measure the expected-value separation between the two capacity alternatives.
How: MAX identifies the larger EMV.
How: MIN identifies the smaller EMV before subtraction.
Read the result: Read the nonnegative difference in million dollars as an expected-value premium.
Watch out: Do not present the premium as certain realized profit.
Already formatted: Number, 2 decimals, million dollars; unrelated example only: a stored value of 2.346 displays as 2.35 million dollars. Enter the formula and press Enter.</t>
      </text>
    </comment>
  </commentList>
</comments>
</file>

<file path=xl/comments/comment3.xml><?xml version="1.0" encoding="utf-8"?>
<comments xmlns="http://schemas.openxmlformats.org/spreadsheetml/2006/main">
  <authors>
    <author>Lab guidance</author>
  </authors>
  <commentList>
    <comment ref="B7" authorId="0" shapeId="0">
      <text>
        <t>Already formatted: Number, 0 decimals, units; unrelated example only: a stored value of 7.26 displays as 7 units. Enter the formula and press Enter.</t>
      </text>
    </comment>
    <comment ref="B8" authorId="0" shapeId="0">
      <text>
        <t>Already formatted: Number, 0 decimals, units; unrelated example only: a stored value of 7.26 displays as 7 units. Enter the formula and press Enter.</t>
      </text>
    </comment>
    <comment ref="B9" authorId="0" shapeId="0">
      <text>
        <t>Already formatted: Number, 0 decimals, units; unrelated example only: a stored value of 7.26 displays as 7 units. Enter the formula and press Enter.</t>
      </text>
    </comment>
    <comment ref="B10" authorId="0" shapeId="0">
      <text>
        <t>Already formatted: Currency, 0 decimals, dollars per unit; unrelated example only: a stored value of 7.26 displays as 7 dollars. Enter the formula and press Enter.</t>
      </text>
    </comment>
    <comment ref="B11" authorId="0" shapeId="0">
      <text>
        <t>Already formatted: Currency, 0 decimals, dollars per surplus unit; unrelated example only: a stored value of 7.26 displays as 7 dollars. Enter the formula and press Enter.</t>
      </text>
    </comment>
    <comment ref="B12" authorId="0" shapeId="0">
      <text>
        <t>Already formatted: Currency, 0 decimals, dollars per capacity unit; unrelated example only: a stored value of 7.26 displays as 7 dollars. Enter the formula and press Enter.</t>
      </text>
    </comment>
    <comment ref="B14" authorId="0" shapeId="0">
      <text>
        <t>Lecture connection: The Flaw of Averages
Why: Create a deterministic comparison for the nonlinear profit distribution.
How: MIN limits sold units to demand or capacity.
How: MAX values unsold capacity at salvage; the final term subtracts acquisition cost.
Read the result: Read the result as profit evaluated at mean demand, not expected simulated profit.
Watch out: Do not remove the capacity or salvage bounds.
Already formatted: Currency, 0 decimals, dollars; unrelated example only: a stored value of 7260.4 displays as 7260 dollars. Enter the formula and press Enter.</t>
      </text>
    </comment>
    <comment ref="B16" authorId="0" shapeId="0">
      <text>
        <t>Lecture connection: Monte Carlo Simulation Engine
Why: Estimate mean profit across the 1,000 fixed-input reference outcomes used for exact checks.
How: AVERAGE uses the 1,000 numeric profit results in C32:C1031.
Read the result: Read the result as mean model-implied profit in dollars for the supplied reference trials.
Watch out: Do not average the demand column or optional live-workbook outcomes.
Already formatted: Currency, 0 decimals, dollars; unrelated example only: a stored value of 7260.4 displays as 7260 dollars. Enter the formula and press Enter.</t>
      </text>
    </comment>
    <comment ref="B17" authorId="0" shapeId="0">
      <text>
        <t>Lecture connection: Monte Carlo Simulation Engine
Why: Measure profit spread around the fixed-reference mean using the requested sample convention.
How: STDEV.S uses the numeric profit trials and denominator n-1.
Read the result: Read the result as sample standard deviation in dollars, not a loss probability.
Watch out: Do not use STDEV.P when the requested denominator is n-1.
Already formatted: Currency, 0 decimals, dollars; unrelated example only: a stored value of 7260.4 displays as 7260 dollars. Enter the formula and press Enter.</t>
      </text>
    </comment>
    <comment ref="B18" authorId="0" shapeId="0">
      <text>
        <t>Lecture connection: Monte Carlo Simulation Engine
Why: Describe a lower-tail fixed-reference profit outcome using the inclusive percentile convention.
How: C32:C1031 contains 1,000 fixed-input profit outcomes.
How: PERCENTILE.INC at 0.05 uses the inclusive (n-1)*p position with linear interpolation.
Read the result: Read the result as a profit threshold in dollars, not as a five-percent probability.
Watch out: Do not apply Percentage format or a different percentile convention.
Already formatted: Currency, 0 decimals, dollars; unrelated example only: a stored value of 7260.4 displays as 7260 dollars. Enter the formula and press Enter.</t>
      </text>
    </comment>
    <comment ref="B19" authorId="0" shapeId="0">
      <text>
        <t>Lecture connection: The Flaw of Averages
Why: Quantify the difference between profit at mean demand and mean profit from fixed reference trials.
How: B14 is deterministic profit.
How: B16 is mean simulated profit from the supplied fixed inputs.
Read the result: Read the signed difference in dollars as evidence of nonlinear model behavior.
Watch out: Do not assume the gap must be zero because mean demand is unchanged.
Already formatted: Currency, 0 decimals, dollars; unrelated example only: a stored value of 7260.4 displays as 7260 dollars. Enter the formula and press Enter.</t>
      </text>
    </comment>
    <comment ref="B20" authorId="0" shapeId="0">
      <text>
        <t>Lecture connection: Monte Carlo Simulation Engine
Why: Verify that every supplied fixed-input reference trial produced a numeric profit outcome.
How: COUNT includes numeric cells in C32:C1031 and excludes blanks or text.
Read the result: Read the result as the reference-trial denominator available for exact summary checks.
Watch out: Do not treat an error, blank, or optional live outcome as a completed reference trial.
Already formatted: Number, 0 decimals, trials; unrelated example only: a stored count of 7 displays as 7 trials. Enter the formula and press Enter.</t>
      </text>
    </comment>
    <comment ref="A32" authorId="0" shapeId="0">
      <text>
        <t>Already formatted: Number, 0 decimals, trial index; unrelated example only: a stored index of 7 displays as 7. Enter the formula and press Enter.</t>
      </text>
    </comment>
    <comment ref="B32" authorId="0" shapeId="0">
      <text>
        <t>Lecture connection: Monte Carlo Simulation Engine
Why: Transform each supplied u_001 probability into a reproducible normal-demand reference trial.
How: Data_Trials!B2 is the first u_001 probability from reference_trials.csv; its relative row changes when filled downward.
How: $B$7 and $B$8 keep the supplied demand mean and standard deviation fixed.
Read the result: Read each result as a modeled demand quantity in units generated from a fixed reference input.
Watch out: Do not replace u_001 with RAND in the graded workbook; F9 variation belongs only to LAB02_Live_Exploration.xlsx.
Already formatted: Number, 0 decimals, demand units; unrelated example only: a stored value of 7.26 displays as 7 units. Enter the formula and press Enter.</t>
      </text>
    </comment>
    <comment ref="C32" authorId="0" shapeId="0">
      <text>
        <t>Lecture connection: Monte Carlo Simulation Engine
Why: Convert each fixed-input demand trial into profit using the same nonlinear capacity and salvage rules.
How: MIN calculates sold units under the capacity cap.
How: MAX values surplus units; the final term subtracts fixed acquisition cost.
Read the result: Read each filled result as one reproducible modeled profit outcome in dollars.
Watch out: Keep assumption cells absolute when filling downward, and do not hardcode simulated outcomes.
Already formatted: Currency, 0 decimals, dollars; unrelated example only: a stored value of 7260.4 displays as 7260 dollars. Enter the formula and press Enter.</t>
      </text>
    </comment>
  </commentList>
</comments>
</file>

<file path=xl/comments/comment4.xml><?xml version="1.0" encoding="utf-8"?>
<comments xmlns="http://schemas.openxmlformats.org/spreadsheetml/2006/main">
  <authors>
    <author>Lab guidance</author>
  </authors>
  <commentList>
    <comment ref="B7" authorId="0" shapeId="0">
      <text>
        <t>Already formatted: Percentage, 1 decimal; unrelated example only: a stored fraction of 0.125 displays as 12.5%; do not multiply by 100. Enter the formula and press Enter.</t>
      </text>
    </comment>
    <comment ref="B8" authorId="0" shapeId="0">
      <text>
        <t>Already formatted: Number, 0 decimals, years; unrelated example only: a stored value of 7 displays as 7 years. Enter the formula and press Enter.</t>
      </text>
    </comment>
    <comment ref="B10" authorId="0" shapeId="0">
      <text>
        <t>Already formatted: Currency, 0 decimals, dollars; unrelated example only: a stored value of 7260.4 displays as 7260 dollars. Enter the formula and press Enter.</t>
      </text>
    </comment>
    <comment ref="C10" authorId="0" shapeId="0">
      <text>
        <t>Already formatted: Currency, 0 decimals, dollars; unrelated example only: a stored value of 7260.4 displays as 7260 dollars. Enter the formula and press Enter.</t>
      </text>
    </comment>
    <comment ref="B11" authorId="0" shapeId="0">
      <text>
        <t>Already formatted: Currency, 0 decimals, dollars per year; unrelated example only: a stored value of 7260.4 displays as 7260 dollars per year. Enter the formula and press Enter.</t>
      </text>
    </comment>
    <comment ref="C11" authorId="0" shapeId="0">
      <text>
        <t>Already formatted: Currency, 0 decimals, dollars per year; unrelated example only: a stored value of 7260.4 displays as 7260 dollars per year. Enter the formula and press Enter.</t>
      </text>
    </comment>
    <comment ref="B12" authorId="0" shapeId="0">
      <text>
        <t>Already formatted: Currency, 0 decimals, dollars per year; unrelated example only: a stored value of 7260.4 displays as 7260 dollars per year. Enter the formula and press Enter.</t>
      </text>
    </comment>
    <comment ref="C12" authorId="0" shapeId="0">
      <text>
        <t>Already formatted: Currency, 0 decimals, dollars per year; unrelated example only: a stored value of 7260.4 displays as 7260 dollars per year. Enter the formula and press Enter.</t>
      </text>
    </comment>
    <comment ref="B17" authorId="0" shapeId="0">
      <text>
        <t>Lecture connection: Downside Risk and Shortfall Probability
Why: Estimate Option A's average discounted value across the fixed reference trials.
How: AVERAGE summarizes the 1,000 numeric Option A NPV outcomes in E38:E1037 generated from fixed Data_Trials inputs.
Read the result: Read the result as expected modeled NPV in dollars, not a guaranteed return.
Watch out: Do not average annual cash flow instead of completed NPV.
Already formatted: Currency, 0 decimals, dollars; unrelated example only: a stored value of 7260.4 displays as 7260 dollars. Enter the formula and press Enter.</t>
      </text>
    </comment>
    <comment ref="C17" authorId="0" shapeId="0">
      <text>
        <t>Lecture connection: Downside Risk and Shortfall Probability
Why: Estimate Option B's average discounted value using the same fixed reference trials.
How: AVERAGE summarizes the 1,000 numeric Option B NPV outcomes in F38:F1037 generated from fixed Data_Trials inputs.
Read the result: Read the result as expected modeled NPV in dollars for Option B.
Watch out: Use the Option B trial column rather than Option A.
Already formatted: Currency, 0 decimals, dollars; unrelated example only: a stored value of 7260.4 displays as 7260 dollars. Enter the formula and press Enter.</t>
      </text>
    </comment>
    <comment ref="B18" authorId="0" shapeId="0">
      <text>
        <t>Lecture connection: Downside Risk and Shortfall Probability
Why: Measure Option A's reference-trial NPV variability around its mean.
How: STDEV.S uses numeric Option A NPVs with denominator n-1.
Read the result: Read the result as spread in dollars, which treats upside and downside symmetrically.
Watch out: Do not use standard deviation alone as the loss measure.
Already formatted: Currency, 0 decimals, dollars; unrelated example only: a stored value of 7260.4 displays as 7260 dollars. Enter the formula and press Enter.</t>
      </text>
    </comment>
    <comment ref="C18" authorId="0" shapeId="0">
      <text>
        <t>Lecture connection: Downside Risk and Shortfall Probability
Why: Measure Option B's reference-trial NPV variability using the same denominator convention.
How: STDEV.S uses numeric Option B NPVs with denominator n-1.
Read the result: Read the result as Option B's sample NPV spread in dollars.
Watch out: Do not compare spreads expressed in inconsistent units.
Already formatted: Currency, 0 decimals, dollars; unrelated example only: a stored value of 7260.4 displays as 7260 dollars. Enter the formula and press Enter.</t>
      </text>
    </comment>
    <comment ref="B19" authorId="0" shapeId="0">
      <text>
        <t>Lecture connection: Downside Risk and Shortfall Probability
Why: Describe Option A's lower-tail reference NPV using the inclusive percentile method.
How: E38:E1037 contains 1,000 Option A NPVs from the fixed reference inputs.
How: 0.05 identifies the inclusive lower-tail position.
How: PERCENTILE.INC uses (n-1)*p linear interpolation between adjacent ordered outcomes.
Read the result: Read the result as a dollar threshold, not a probability.
Watch out: Do not apply Percentage format to NPV.
Already formatted: Currency, 0 decimals, dollars; unrelated example only: a stored value of 7260.4 displays as 7260 dollars. Enter the formula and press Enter.</t>
      </text>
    </comment>
    <comment ref="C19" authorId="0" shapeId="0">
      <text>
        <t>Lecture connection: Downside Risk and Shortfall Probability
Why: Describe Option B's lower-tail reference NPV with the same inclusive percentile convention.
How: F38:F1037 contains 1,000 Option B NPVs from the fixed reference inputs.
How: 0.05 identifies the inclusive lower-tail position.
How: PERCENTILE.INC uses (n-1)*p linear interpolation between adjacent ordered outcomes.
Read the result: Read the result as an Option B NPV threshold in dollars.
Watch out: Do not compare percentiles calculated with different conventions.
Already formatted: Currency, 0 decimals, dollars; unrelated example only: a stored value of 7260.4 displays as 7260 dollars. Enter the formula and press Enter.</t>
      </text>
    </comment>
    <comment ref="B20" authorId="0" shapeId="0">
      <text>
        <t>Lecture connection: Downside Risk and Shortfall Probability
Why: Estimate how often Option A's fixed reference-trial NPV falls below break-even.
How: COUNTIF is the numerator of negative numeric NPVs.
How: COUNT is the denominator of all numeric Option A NPVs.
Read the result: Read the stored fraction as the empirical reference-trial probability of negative Option A NPV.
Watch out: Do not include blanks in the denominator or multiply the fraction by 100.
Already formatted: Percentage, 1 decimal; unrelated example only: a stored fraction of 0.125 displays as 12.5%; enter the fraction formula, not a value multiplied by 100. Enter the formula and press Enter.</t>
      </text>
    </comment>
    <comment ref="C20" authorId="0" shapeId="0">
      <text>
        <t>Lecture connection: Downside Risk and Shortfall Probability
Why: Estimate how often Option B's fixed reference-trial NPV falls below break-even.
How: COUNTIF counts negative Option B NPVs.
How: COUNT supplies the numeric Option B trial denominator.
Read the result: Read the stored fraction as the empirical reference-trial probability of negative Option B NPV.
Watch out: Do not use the Option A denominator if trial eligibility differs.
Already formatted: Percentage, 1 decimal; unrelated example only: a stored fraction of 0.125 displays as 12.5%; enter the fraction formula, not a value multiplied by 100. Enter the formula and press Enter.</t>
      </text>
    </comment>
    <comment ref="B21" authorId="0" shapeId="0">
      <text>
        <t>Lecture connection: Downside Risk and Shortfall Probability
Why: Verify Option A's reference-trial denominator and detect incomplete trials.
How: COUNT includes numeric Option A NPVs and excludes blanks or text.
Read the result: Read the result as the eligible Option A reference-trial count.
Watch out: Do not assume a filled-looking cell is numeric.
Already formatted: Number, 0 decimals, trials; unrelated example only: a stored count of 7 displays as 7 trials. Enter the formula and press Enter.</t>
      </text>
    </comment>
    <comment ref="C21" authorId="0" shapeId="0">
      <text>
        <t>Lecture connection: Downside Risk and Shortfall Probability
Why: Verify Option B's eligible reference-trial denominator before comparing loss probabilities.
How: COUNT includes numeric Option B NPVs and excludes blanks or text.
Read the result: Read the result as the eligible Option B reference-trial count.
Watch out: Resolve unequal denominators before comparing options.
Already formatted: Number, 0 decimals, trials; unrelated example only: a stored count of 7 displays as 7 trials. Enter the formula and press Enter.</t>
      </text>
    </comment>
    <comment ref="B22" authorId="0" shapeId="0">
      <text>
        <t>Lecture connection: Downside Risk and Shortfall Probability
Why: Measure the expected-value trade-off between the two capital options.
How: Subtract the two mean NPVs.
How: ABS reports the magnitude without changing the underlying option ordering.
Read the result: Read the result as the dollar separation between expected NPVs.
Watch out: Use B17 and C17 to identify which option has the larger mean.
Already formatted: Currency, 0 decimals, dollars; unrelated example only: a stored value of 7260.4 displays as 7260 dollars. Enter the formula and press Enter.</t>
      </text>
    </comment>
    <comment ref="B23" authorId="0" shapeId="0">
      <text>
        <t>Lecture connection: Downside Risk and Shortfall Probability
Why: Measure the absolute difference between the options' empirical loss probabilities.
How: Subtract the two stored probability fractions.
How: ABS reports the nonnegative gap.
Read the result: Describe the displayed result as a percentage-point difference, not a relative percent change.
Watch out: Do not divide the difference by one option unless relative change is requested.
Already formatted: Percentage, 1 decimal; unrelated example only: a stored difference of 0.025 displays as 2.5% and is described as 2.5 percentage points. Enter the formula and press Enter.</t>
      </text>
    </comment>
    <comment ref="A38" authorId="0" shapeId="0">
      <text>
        <t>Already formatted: Number, 0 decimals, trial index; unrelated example only: a stored index of 7 displays as 7. Enter the formula and press Enter.</t>
      </text>
    </comment>
    <comment ref="D38" authorId="0" shapeId="0">
      <text>
        <t>Lecture connection: Monte Carlo Simulation Engine
Why: Convert each supplied u_001 probability into a reproducible standard-normal cash-flow shock.
How: Data_Trials!B2 is the first u_001 value; filling D38:D1037 advances through all 1,000 supplied reference inputs.
How: NORM.S.INV converts each probability to its corresponding standard-normal score.
Read the result: Read the result as a unitless common shock paired consistently across both options.
Watch out: For exact checks, keep Data_Trials fixed; F9 variation belongs only in LAB02_Live_Exploration.xlsx, using shared RAND inputs and ordinary fill-down formulas.
Already formatted: Number, 4 decimals, standard-normal score; unrelated example only: a stored value of 1.23456 displays as 1.2346. Enter the formula and press Enter.</t>
      </text>
    </comment>
    <comment ref="E38" authorId="0" shapeId="0">
      <text>
        <t>Lecture connection: Downside Risk and Shortfall Probability
Why: Calculate Option A's three-year discounted value for each fixed common reference shock.
How: The initial investment is subtracted at time zero.
How: NPV discounts three annual cash flows formed from mean plus standard deviation times the shared shock.
Read the result: Read each result as one modeled Option A reference-trial NPV in dollars.
Watch out: Do not include the time-zero investment inside the NPV arguments.
Already formatted: Currency, 0 decimals, dollars; unrelated example only: a stored value of 7260.4 displays as 7260 dollars. Enter the formula and press Enter.</t>
      </text>
    </comment>
    <comment ref="F38" authorId="0" shapeId="0">
      <text>
        <t>Lecture connection: Downside Risk and Shortfall Probability
Why: Calculate Option B's three-year discounted value under each fixed common reference shock.
How: The Option B investment is subtracted at time zero.
How: NPV discounts three Option B annual cash flows using the common discount rate.
Read the result: Read each result as one modeled Option B reference-trial NPV in dollars.
Watch out: Use Option B assumptions while preserving the common shock and discount rate.
Already formatted: Currency, 0 decimals, dollars; unrelated example only: a stored value of 7260.4 displays as 7260 dollars. Enter the formula and press Enter.</t>
      </text>
    </comment>
  </commentList>
</comments>
</file>

<file path=xl/tables/table1.xml><?xml version="1.0" encoding="utf-8"?>
<table xmlns="http://schemas.openxmlformats.org/spreadsheetml/2006/main" id="1" name="Cohort" displayName="Cohort" ref="A1:C1001" headerRowCount="1">
  <autoFilter ref="A1:C1001"/>
  <tableColumns count="3">
    <tableColumn id="1" name="AccountID"/>
    <tableColumn id="2" name="Churn"/>
    <tableColumn id="3" name="HighTickets"/>
  </tableColumns>
  <tableStyleInfo name="TableStyleMedium4" showRowStripes="1"/>
</table>
</file>

<file path=xl/tables/table2.xml><?xml version="1.0" encoding="utf-8"?>
<table xmlns="http://schemas.openxmlformats.org/spreadsheetml/2006/main" id="2" name="ReferenceTrials" displayName="ReferenceTrials" ref="A1:B1001" headerRowCount="1">
  <autoFilter ref="A1:B1001"/>
  <tableColumns count="2">
    <tableColumn id="1" name="trial"/>
    <tableColumn id="2" name="u_001"/>
  </tableColumns>
  <tableStyleInfo name="TableStyleMedium4"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table" Target="/xl/tables/table1.xml" Id="rId1"/></Relationships>
</file>

<file path=xl/worksheets/_rels/sheet7.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tabColor rgb="0057068C"/>
    <outlinePr summaryBelow="1" summaryRight="1"/>
    <pageSetUpPr fitToPage="1"/>
  </sheetPr>
  <dimension ref="A1:H30"/>
  <sheetViews>
    <sheetView showGridLines="0" workbookViewId="0" zoomScale="100">
      <selection activeCell="A1" sqref="A1"/>
    </sheetView>
  </sheetViews>
  <sheetFormatPr baseColWidth="8" defaultRowHeight="15"/>
  <cols>
    <col min="1" max="1" width="15" hidden="0" customWidth="1"/>
    <col min="2" max="2" width="15" hidden="0" customWidth="1"/>
    <col min="3" max="3" width="15" hidden="0" customWidth="1"/>
    <col min="4" max="4" width="15" hidden="0" customWidth="1"/>
    <col min="5" max="5" width="15" hidden="0" customWidth="1"/>
    <col min="6" max="6" width="15" hidden="0" customWidth="1"/>
    <col min="7" max="7" width="15" hidden="0" customWidth="1"/>
    <col min="8" max="8" width="15" hidden="0" customWidth="1"/>
  </cols>
  <sheetData>
    <row r="1" ht="30" customHeight="1">
      <c r="A1" s="504" t="str">
        <v>Welcome to LAB02</v>
      </c>
      <c r="B1" s="504"/>
      <c r="C1" s="504"/>
      <c r="D1" s="504"/>
      <c r="E1" s="504"/>
      <c r="F1" s="504"/>
      <c r="G1" s="504"/>
      <c r="H1" s="504"/>
    </row>
    <row r="2" ht="34" customHeight="1">
      <c r="A2" s="503" t="str">
        <v>How should CloudFlow Analytics evaluate customer screening rules and capital investments under stochastic demand?</v>
      </c>
      <c r="B2" s="503"/>
      <c r="C2" s="503"/>
      <c r="D2" s="503"/>
      <c r="E2" s="503"/>
      <c r="F2" s="503"/>
      <c r="G2" s="503"/>
      <c r="H2" s="503"/>
    </row>
    <row r="3">
      <c r="A3" s="503"/>
      <c r="B3" s="503"/>
      <c r="C3" s="503"/>
      <c r="D3" s="503"/>
      <c r="E3" s="503"/>
      <c r="F3" s="503"/>
      <c r="G3" s="503"/>
      <c r="H3" s="503"/>
    </row>
    <row r="4" ht="25" customHeight="1">
      <c r="A4" s="505" t="str">
        <v>1. Your details</v>
      </c>
      <c r="B4" s="505"/>
      <c r="C4" s="505"/>
      <c r="D4" s="505"/>
      <c r="E4" s="505"/>
      <c r="F4" s="505"/>
      <c r="G4" s="505"/>
      <c r="H4" s="505"/>
    </row>
    <row r="5" ht="22" customHeight="1">
      <c r="A5" s="505" t="str">
        <v>First name</v>
      </c>
      <c r="B5" s="505"/>
      <c r="C5" s="505"/>
      <c r="D5" s="505" t="str">
        <v>Last name</v>
      </c>
      <c r="E5" s="505"/>
      <c r="F5" s="505"/>
      <c r="G5" s="505" t="str">
        <v>NYU NetID</v>
      </c>
      <c r="H5" s="505"/>
    </row>
    <row r="6" ht="30" customHeight="1">
      <c r="A6" s="507"/>
      <c r="B6" s="508"/>
      <c r="C6" s="509"/>
      <c r="D6" s="507"/>
      <c r="E6" s="508"/>
      <c r="F6" s="509"/>
      <c r="G6" s="507"/>
      <c r="H6" s="509"/>
    </row>
    <row r="7" ht="38" customHeight="1">
      <c r="A7" s="503" t="str">
        <v>Your NetID is the username before @nyu.edu in your NYU email address. For example, jd1234@nyu.edu uses jd1234. Enter only the NetID here.</v>
      </c>
      <c r="B7" s="503"/>
      <c r="C7" s="503"/>
      <c r="D7" s="503"/>
      <c r="E7" s="503"/>
      <c r="F7" s="503"/>
      <c r="G7" s="503"/>
      <c r="H7" s="503"/>
    </row>
    <row r="8" ht="40" customHeight="1">
      <c r="A8" s="510" t="str">
        <v>Use your own details. For example only: first name Jane, last name Doe, NetID jd1234 gives LAB02_Jane_Doe_jd1234.xlsx. Keep hyphens in names; filenames omit spaces and unsupported punctuation.</v>
      </c>
      <c r="B8" s="510"/>
      <c r="C8" s="510"/>
      <c r="D8" s="510"/>
      <c r="E8" s="510"/>
      <c r="F8" s="510"/>
      <c r="G8" s="510"/>
      <c r="H8" s="510"/>
    </row>
    <row r="9">
      <c r="A9" s="503"/>
      <c r="B9" s="503"/>
      <c r="C9" s="503"/>
      <c r="D9" s="503"/>
      <c r="E9" s="503"/>
      <c r="F9" s="503"/>
      <c r="G9" s="503"/>
      <c r="H9" s="503"/>
    </row>
    <row r="10" ht="25" customHeight="1">
      <c r="A10" s="505" t="str">
        <v>2. Your submission filenames</v>
      </c>
      <c r="B10" s="505"/>
      <c r="C10" s="505"/>
      <c r="D10" s="505"/>
      <c r="E10" s="505"/>
      <c r="F10" s="505"/>
      <c r="G10" s="505"/>
      <c r="H10" s="505"/>
    </row>
    <row r="11" ht="38" customHeight="1">
      <c r="A11" s="511" t="str">
        <f>IF(OR(LEN(TRIM(A6))=0,LEN(TRIM(D6))=0,LEN(TRIM(G6))=0),"Enter all three fields above to show your filenames.",IF(OR(ISNUMBER(SEARCH("@",G6)),ISNUMBER(SEARCH(" ",TRIM(G6))),AND(LEFT(UPPER(TRIM(G6)),1)="N",ISNUMBER(IFERROR(VALUE(MID(TRIM(G6),2,99)),"")))),"Enter only your NYU NetID, not your full email address or N-number.","Use File &gt; Save As with the workbook name below. Save your other lab files with the matching names."))</f>
        <v>Enter all three fields above to show your filenames.</v>
      </c>
      <c r="B11" s="511"/>
      <c r="C11" s="511"/>
      <c r="D11" s="511"/>
      <c r="E11" s="511"/>
      <c r="F11" s="511"/>
      <c r="G11" s="511"/>
      <c r="H11" s="511"/>
    </row>
    <row r="12">
      <c r="A12" s="503"/>
      <c r="B12" s="503"/>
      <c r="C12" s="503"/>
      <c r="D12" s="503"/>
      <c r="E12" s="503"/>
      <c r="F12" s="503"/>
      <c r="G12" s="503"/>
      <c r="H12" s="503"/>
    </row>
    <row r="13" ht="26" customHeight="1">
      <c r="A13" s="505" t="str">
        <v>Excel workbook</v>
      </c>
      <c r="B13" s="505"/>
      <c r="C13" s="511" t="str">
        <f>IF(LEFT(A11,3)="Use","LAB02_"&amp;SUBSTITUTE(SUBSTITUTE(SUBSTITUTE(SUBSTITUTE(SUBSTITUTE(SUBSTITUTE(SUBSTITUTE(SUBSTITUTE(SUBSTITUTE(SUBSTITUTE(TRIM(A6)," ",""),"/",""),"\",""),":",""),"*",""),"?",""),"""",""),"&lt;",""),"&gt;",""),"|","")&amp;"_"&amp;SUBSTITUTE(SUBSTITUTE(SUBSTITUTE(SUBSTITUTE(SUBSTITUTE(SUBSTITUTE(SUBSTITUTE(SUBSTITUTE(SUBSTITUTE(SUBSTITUTE(TRIM(D6)," ",""),"/",""),"\",""),":",""),"*",""),"?",""),"""",""),"&lt;",""),"&gt;",""),"|","")&amp;"_"&amp;LOWER(TRIM(G6))&amp;".xlsx","")</f>
      </c>
      <c r="D13" s="511"/>
      <c r="E13" s="511"/>
      <c r="F13" s="511"/>
      <c r="G13" s="511"/>
      <c r="H13" s="511"/>
    </row>
    <row r="14" ht="26" customHeight="1">
      <c r="A14" s="505" t="str">
        <v>SPSS syntax</v>
      </c>
      <c r="B14" s="505"/>
      <c r="C14" s="511" t="str">
        <f>IF(LEFT(A11,3)="Use","LAB02_"&amp;SUBSTITUTE(SUBSTITUTE(SUBSTITUTE(SUBSTITUTE(SUBSTITUTE(SUBSTITUTE(SUBSTITUTE(SUBSTITUTE(SUBSTITUTE(SUBSTITUTE(TRIM(A6)," ",""),"/",""),"\",""),":",""),"*",""),"?",""),"""",""),"&lt;",""),"&gt;",""),"|","")&amp;"_"&amp;SUBSTITUTE(SUBSTITUTE(SUBSTITUTE(SUBSTITUTE(SUBSTITUTE(SUBSTITUTE(SUBSTITUTE(SUBSTITUTE(SUBSTITUTE(SUBSTITUTE(TRIM(D6)," ",""),"/",""),"\",""),":",""),"*",""),"?",""),"""",""),"&lt;",""),"&gt;",""),"|","")&amp;"_"&amp;LOWER(TRIM(G6))&amp;".sps","")</f>
      </c>
      <c r="D14" s="511"/>
      <c r="E14" s="511"/>
      <c r="F14" s="511"/>
      <c r="G14" s="511"/>
      <c r="H14" s="511"/>
    </row>
    <row r="15" ht="26" customHeight="1">
      <c r="A15" s="505" t="str">
        <v>SPSS output</v>
      </c>
      <c r="B15" s="505"/>
      <c r="C15" s="511" t="str">
        <f>IF(LEFT(A11,3)="Use","LAB02_"&amp;SUBSTITUTE(SUBSTITUTE(SUBSTITUTE(SUBSTITUTE(SUBSTITUTE(SUBSTITUTE(SUBSTITUTE(SUBSTITUTE(SUBSTITUTE(SUBSTITUTE(TRIM(A6)," ",""),"/",""),"\",""),":",""),"*",""),"?",""),"""",""),"&lt;",""),"&gt;",""),"|","")&amp;"_"&amp;SUBSTITUTE(SUBSTITUTE(SUBSTITUTE(SUBSTITUTE(SUBSTITUTE(SUBSTITUTE(SUBSTITUTE(SUBSTITUTE(SUBSTITUTE(SUBSTITUTE(TRIM(D6)," ",""),"/",""),"\",""),":",""),"*",""),"?",""),"""",""),"&lt;",""),"&gt;",""),"|","")&amp;"_"&amp;LOWER(TRIM(G6))&amp;".spv","")</f>
      </c>
      <c r="D15" s="511"/>
      <c r="E15" s="511"/>
      <c r="F15" s="511"/>
      <c r="G15" s="511"/>
      <c r="H15" s="511"/>
    </row>
    <row r="16" ht="26" customHeight="1">
      <c r="A16" s="505" t="str">
        <v>Memo (PDF)</v>
      </c>
      <c r="B16" s="505"/>
      <c r="C16" s="511" t="str">
        <f>IF(LEFT(A11,3)="Use","LAB02_"&amp;SUBSTITUTE(SUBSTITUTE(SUBSTITUTE(SUBSTITUTE(SUBSTITUTE(SUBSTITUTE(SUBSTITUTE(SUBSTITUTE(SUBSTITUTE(SUBSTITUTE(TRIM(A6)," ",""),"/",""),"\",""),":",""),"*",""),"?",""),"""",""),"&lt;",""),"&gt;",""),"|","")&amp;"_"&amp;SUBSTITUTE(SUBSTITUTE(SUBSTITUTE(SUBSTITUTE(SUBSTITUTE(SUBSTITUTE(SUBSTITUTE(SUBSTITUTE(SUBSTITUTE(SUBSTITUTE(TRIM(D6)," ",""),"/",""),"\",""),":",""),"*",""),"?",""),"""",""),"&lt;",""),"&gt;",""),"|","")&amp;"_"&amp;LOWER(TRIM(G6))&amp;".pdf","")</f>
      </c>
      <c r="D16" s="511"/>
      <c r="E16" s="511"/>
      <c r="F16" s="511"/>
      <c r="G16" s="511"/>
      <c r="H16" s="511"/>
    </row>
    <row r="17" ht="26" customHeight="1">
      <c r="A17" s="505" t="str">
        <v>Memo (Word)</v>
      </c>
      <c r="B17" s="505"/>
      <c r="C17" s="511" t="str">
        <f>IF(LEFT(A11,3)="Use","LAB02_"&amp;SUBSTITUTE(SUBSTITUTE(SUBSTITUTE(SUBSTITUTE(SUBSTITUTE(SUBSTITUTE(SUBSTITUTE(SUBSTITUTE(SUBSTITUTE(SUBSTITUTE(TRIM(A6)," ",""),"/",""),"\",""),":",""),"*",""),"?",""),"""",""),"&lt;",""),"&gt;",""),"|","")&amp;"_"&amp;SUBSTITUTE(SUBSTITUTE(SUBSTITUTE(SUBSTITUTE(SUBSTITUTE(SUBSTITUTE(SUBSTITUTE(SUBSTITUTE(SUBSTITUTE(SUBSTITUTE(TRIM(D6)," ",""),"/",""),"\",""),":",""),"*",""),"?",""),"""",""),"&lt;",""),"&gt;",""),"|","")&amp;"_"&amp;LOWER(TRIM(G6))&amp;".docx","")</f>
      </c>
      <c r="D17" s="511"/>
      <c r="E17" s="511"/>
      <c r="F17" s="511"/>
      <c r="G17" s="511"/>
      <c r="H17" s="511"/>
    </row>
    <row r="18">
      <c r="A18" s="503"/>
      <c r="B18" s="503"/>
      <c r="C18" s="503"/>
      <c r="D18" s="503"/>
      <c r="E18" s="503"/>
      <c r="F18" s="503"/>
      <c r="G18" s="503"/>
      <c r="H18" s="503"/>
    </row>
    <row r="19" ht="38" customHeight="1">
      <c r="A19" s="503" t="str">
        <v>These are filenames, not extra required submissions. Follow the Submit section of the lab guide for which files to upload. Use either PDF or Word for the memo, as allowed there.</v>
      </c>
      <c r="B19" s="503"/>
      <c r="C19" s="503"/>
      <c r="D19" s="503"/>
      <c r="E19" s="503"/>
      <c r="F19" s="503"/>
      <c r="G19" s="503"/>
      <c r="H19" s="503"/>
    </row>
    <row r="20">
      <c r="A20" s="503"/>
      <c r="B20" s="503"/>
      <c r="C20" s="503"/>
      <c r="D20" s="503"/>
      <c r="E20" s="503"/>
      <c r="F20" s="503"/>
      <c r="G20" s="503"/>
      <c r="H20" s="503"/>
    </row>
    <row r="21" ht="25" customHeight="1">
      <c r="A21" s="505" t="str">
        <v>3. Learn, check and save</v>
      </c>
      <c r="B21" s="505"/>
      <c r="C21" s="505"/>
      <c r="D21" s="505"/>
      <c r="E21" s="505"/>
      <c r="F21" s="505"/>
      <c r="G21" s="505"/>
      <c r="H21" s="505"/>
    </row>
    <row r="22" ht="42" customHeight="1">
      <c r="A22" s="503" t="str">
        <v>Yellow cells are for your work. Read the study-help column beside response rows for relevant slides, concise toolkit pages and an optional question you can ask AI.</v>
      </c>
      <c r="B22" s="503"/>
      <c r="C22" s="503"/>
      <c r="D22" s="503"/>
      <c r="E22" s="503"/>
      <c r="F22" s="503"/>
      <c r="G22" s="503"/>
      <c r="H22" s="503"/>
    </row>
    <row r="23" ht="38" customHeight="1">
      <c r="A23" s="503" t="str">
        <v>AI help is optional and follows the lab’s permitted-use timing. Use it after class unless your lab guide explicitly permits it during class. Ask for a different practice example, check the explanation and disclose use or non-use.</v>
      </c>
      <c r="B23" s="503"/>
      <c r="C23" s="503"/>
      <c r="D23" s="503"/>
      <c r="E23" s="503"/>
      <c r="F23" s="503"/>
      <c r="G23" s="503"/>
      <c r="H23" s="503"/>
    </row>
    <row r="24" ht="38" customHeight="1">
      <c r="A24" s="503" t="str">
        <v>Use the guide for exact software steps. A matching number still needs an explanation. Save at each checkpoint. Your filenames update here, but this sheet does not rename or submit files.</v>
      </c>
      <c r="B24" s="503"/>
      <c r="C24" s="503"/>
      <c r="D24" s="503"/>
      <c r="E24" s="503"/>
      <c r="F24" s="503"/>
      <c r="G24" s="503"/>
      <c r="H24" s="503"/>
    </row>
    <row r="25">
      <c r="A25" s="503"/>
      <c r="B25" s="503"/>
      <c r="C25" s="503"/>
      <c r="D25" s="503"/>
      <c r="E25" s="503"/>
      <c r="F25" s="503"/>
      <c r="G25" s="503"/>
      <c r="H25" s="503"/>
    </row>
    <row r="26" ht="25" customHeight="1">
      <c r="A26" s="505" t="str">
        <v>Open a Part</v>
      </c>
      <c r="B26" s="505"/>
      <c r="C26" s="505"/>
      <c r="D26" s="505"/>
      <c r="E26" s="505"/>
      <c r="F26" s="505"/>
      <c r="G26" s="505"/>
      <c r="H26" s="505"/>
    </row>
    <row r="27" ht="34" customHeight="1">
      <c r="A27" s="512" t="inlineStr">
        <is>
          <t>IN-CLASS_Lab Part A: Cross-Tabulation and Conditional Churn Risk</t>
        </is>
      </c>
      <c r="B27" s="512"/>
      <c r="C27" s="512"/>
      <c r="D27" s="512"/>
      <c r="E27" s="512"/>
      <c r="F27" s="512"/>
      <c r="G27" s="512"/>
      <c r="H27" s="512"/>
    </row>
    <row r="28" ht="34" customHeight="1">
      <c r="A28" s="512" t="inlineStr">
        <is>
          <t>IN-CLASS_Lab Part B: Payoff Table and Decision Tree Valuation</t>
        </is>
      </c>
      <c r="B28" s="512"/>
      <c r="C28" s="512"/>
      <c r="D28" s="512"/>
      <c r="E28" s="512"/>
      <c r="F28" s="512"/>
      <c r="G28" s="512"/>
      <c r="H28" s="512"/>
    </row>
    <row r="29" ht="34" customHeight="1">
      <c r="A29" s="512" t="inlineStr">
        <is>
          <t>IN-CLASS_Lab Part C: Reproducible Stochastic Profit Simulation</t>
        </is>
      </c>
      <c r="B29" s="512"/>
      <c r="C29" s="512"/>
      <c r="D29" s="512"/>
      <c r="E29" s="512"/>
      <c r="F29" s="512"/>
      <c r="G29" s="512"/>
      <c r="H29" s="512"/>
    </row>
    <row r="30" ht="34" customHeight="1">
      <c r="A30" s="512" t="inlineStr">
        <is>
          <t>POST-CLASS_Part 1: Multi-Year Capital Investment Risk and Sensitivity</t>
        </is>
      </c>
      <c r="B30" s="512"/>
      <c r="C30" s="512"/>
      <c r="D30" s="512"/>
      <c r="E30" s="512"/>
      <c r="F30" s="512"/>
      <c r="G30" s="512"/>
      <c r="H30" s="512"/>
    </row>
    <row r="31">
      <c r="A31" s="503"/>
      <c r="B31" s="503"/>
      <c r="C31" s="503"/>
      <c r="D31" s="503"/>
      <c r="E31" s="503"/>
      <c r="F31" s="503"/>
      <c r="G31" s="503"/>
      <c r="H31" s="503"/>
    </row>
    <row r="32">
      <c r="A32" s="503"/>
      <c r="B32" s="503"/>
      <c r="C32" s="503"/>
      <c r="D32" s="503"/>
      <c r="E32" s="503"/>
      <c r="F32" s="503"/>
      <c r="G32" s="503"/>
      <c r="H32" s="503"/>
    </row>
    <row r="33">
      <c r="A33" s="503"/>
      <c r="B33" s="503"/>
      <c r="C33" s="503"/>
      <c r="D33" s="503"/>
      <c r="E33" s="503"/>
      <c r="F33" s="503"/>
      <c r="G33" s="503"/>
      <c r="H33" s="503"/>
    </row>
    <row r="34">
      <c r="A34" s="503"/>
      <c r="B34" s="503"/>
      <c r="C34" s="503"/>
      <c r="D34" s="503"/>
      <c r="E34" s="503"/>
      <c r="F34" s="503"/>
      <c r="G34" s="503"/>
      <c r="H34" s="503"/>
    </row>
  </sheetData>
  <mergeCells>
    <mergeCell ref="A1:H1"/>
    <mergeCell ref="A2:H2"/>
    <mergeCell ref="A4:H4"/>
    <mergeCell ref="A5:C5"/>
    <mergeCell ref="D5:F5"/>
    <mergeCell ref="G5:H5"/>
    <mergeCell ref="A6:C6"/>
    <mergeCell ref="D6:F6"/>
    <mergeCell ref="G6:H6"/>
    <mergeCell ref="A7:H7"/>
    <mergeCell ref="A8:H8"/>
    <mergeCell ref="A10:H10"/>
    <mergeCell ref="A11:H11"/>
    <mergeCell ref="A13:B13"/>
    <mergeCell ref="A14:B14"/>
    <mergeCell ref="A15:B15"/>
    <mergeCell ref="A16:B16"/>
    <mergeCell ref="A17:B17"/>
    <mergeCell ref="A19:H19"/>
    <mergeCell ref="A21:H21"/>
    <mergeCell ref="A22:H22"/>
    <mergeCell ref="A23:H23"/>
    <mergeCell ref="A24:H24"/>
    <mergeCell ref="A26:H26"/>
    <mergeCell ref="C13:H13"/>
    <mergeCell ref="C14:H14"/>
    <mergeCell ref="C15:H15"/>
    <mergeCell ref="C16:H16"/>
    <mergeCell ref="C17:H17"/>
    <mergeCell ref="A27:H27"/>
    <mergeCell ref="A28:H28"/>
    <mergeCell ref="A29:H29"/>
    <mergeCell ref="A30:H30"/>
  </mergeCells>
  <hyperlinks>
    <hyperlink ref="A27" location="'IN-CLASS_Lab Part A'!A1"/>
    <hyperlink ref="A28" location="'IN-CLASS_Lab Part B'!A1"/>
    <hyperlink ref="A29" location="'IN-CLASS_Lab Part C'!A1"/>
    <hyperlink ref="A30" location="'POST-CLASS_Part 1'!A1"/>
  </hyperlink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57068C"/>
    <outlinePr summaryBelow="1" summaryRight="1"/>
    <pageSetUpPr fitToPage="1"/>
  </sheetPr>
  <dimension ref="A1:H62"/>
  <sheetViews>
    <sheetView showGridLines="0" zoomScale="90" workbookViewId="0">
      <pane ySplit="6" topLeftCell="A7"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min="9" max="9" width="58" customWidth="1"/>
  </cols>
  <sheetData>
    <row r="1" ht="30" customHeight="1">
      <c r="A1" s="577" t="inlineStr">
        <is>
          <t xml:space="preserve">Part A · Do high-ticket accounts churn more?    ⏱ 8 min · from slide 24 → back to slide 25</t>
        </is>
      </c>
      <c r="B1" s="533" t="n"/>
      <c r="C1" s="533" t="n"/>
      <c r="D1" s="533" t="n"/>
      <c r="E1" s="533" t="n"/>
      <c r="F1" s="533" t="n"/>
      <c r="G1" s="533" t="n"/>
      <c r="H1" s="533" t="n"/>
      <c r="I1" s="515"/>
    </row>
    <row r="2" ht="34" customHeight="1">
      <c r="A2" s="578" t="inlineStr">
        <is>
          <t xml:space="preserve">What you're using · Section 1: A contingency table sorts every account by two categories at once.   Reread: Slides 10–24; Concise Toolkit pp. 4–10; Full Toolkit pp. 4–21</t>
        </is>
      </c>
      <c r="B2" s="533" t="n"/>
      <c r="C2" s="533" t="n"/>
      <c r="D2" s="533" t="n"/>
      <c r="E2" s="533" t="n"/>
      <c r="F2" s="533" t="n"/>
      <c r="G2" s="533" t="n"/>
      <c r="H2" s="533" t="n"/>
      <c r="I2" s="515"/>
    </row>
    <row r="3" ht="30" customHeight="1">
      <c r="A3" s="579" t="inlineStr">
        <is>
          <t xml:space="preserve">P(C | H) = P(C ∩ H) / P(H) = n(C ∩ H) / n(H) = B9 / D9      where C = account churned · H = account had high support tickets · n(·) = number of accounts</t>
        </is>
      </c>
      <c r="B3" s="533" t="n"/>
      <c r="C3" s="533" t="n"/>
      <c r="D3" s="533" t="n"/>
      <c r="E3" s="533" t="n"/>
      <c r="F3" s="533" t="n"/>
      <c r="G3" s="533" t="n"/>
      <c r="H3" s="533" t="n"/>
      <c r="I3" s="515"/>
    </row>
    <row r="4" ht="22" customHeight="1">
      <c r="A4" s="580" t="str">
        <f>"Progress: "&amp;COUNTIF(B30:B45,"✓ Checked")&amp;" of 16 checked. Save after each ✓."</f>
      </c>
      <c r="B4" s="533" t="n"/>
      <c r="C4" s="533" t="n"/>
      <c r="D4" s="533" t="n"/>
      <c r="E4" s="533" t="n"/>
      <c r="F4" s="533" t="n"/>
      <c r="G4" s="533" t="n"/>
      <c r="H4" s="533" t="n"/>
      <c r="I4" s="515"/>
    </row>
    <row r="5" ht="30" customHeight="1">
      <c r="A5" s="581" t="inlineStr">
        <is>
          <t xml:space="preserve">Open IN-CLASS_Lab Part A!A7.  Save workbook as LAB02_FirstName_LastName_NetID.xlsx.</t>
        </is>
      </c>
      <c r="B5" s="533" t="n"/>
      <c r="C5" s="533" t="n"/>
      <c r="D5" s="533" t="n"/>
      <c r="E5" s="533" t="n"/>
      <c r="F5" s="533" t="n"/>
      <c r="G5" s="533" t="n"/>
      <c r="H5" s="533" t="n"/>
      <c r="I5" s="516" t="str">
        <v>Study help (optional)
Read the pages, then use the AI question if useful.</v>
      </c>
    </row>
    <row r="6">
      <c r="A6" s="533" t="n"/>
      <c r="B6" s="533" t="n"/>
      <c r="C6" s="533" t="n"/>
      <c r="D6" s="533" t="n"/>
      <c r="E6" s="533" t="n"/>
      <c r="F6" s="533" t="n"/>
      <c r="G6" s="533" t="n"/>
      <c r="H6" s="533" t="n"/>
      <c r="I6" s="516"/>
    </row>
    <row r="7" ht="90.0" customHeight="1">
      <c r="A7" s="534" t="inlineStr">
        <is>
          <t xml:space="preserve">1 · Recorded source rows</t>
        </is>
      </c>
      <c r="B7" s="553" t="n"/>
      <c r="C7" s="536">
        <f>IFERROR(IF(OR(ISBLANK(B7)),"Not started",IF(AND(ABS(B7-(1000))&lt;=1e-09),"Result matches","Check the result")),"Formula error")</f>
        <v/>
      </c>
      <c r="D7" s="537" t="n"/>
      <c r="E7" s="538" t="inlineStr">
        <is>
          <t>Recorded source rows. Practice check: 1,000; use the cell's stated units. Do not count a manually selected partial range.</t>
        </is>
      </c>
      <c r="F7" s="537" t="n"/>
      <c r="G7" s="537" t="n"/>
      <c r="H7" s="537" t="n"/>
      <c r="I7" s="530" t="str">
        <v>B7: Section study support: Slides 11, 15, 17, 20. Concise Toolkit pp. 4-10
After-class AI question: Explain Descriptive Frequency Tables. Use a different example, then ask me one check question.</v>
      </c>
    </row>
    <row r="8" ht="30" customHeight="1">
      <c r="A8" s="534" t="inlineStr">
        <is>
          <t>HighTickets / Churn</t>
        </is>
      </c>
      <c r="B8" s="534" t="inlineStr">
        <is>
          <t>Yes</t>
        </is>
      </c>
      <c r="C8" s="534" t="inlineStr">
        <is>
          <t>No</t>
        </is>
      </c>
      <c r="D8" s="534" t="inlineStr">
        <is>
          <t>Row total</t>
        </is>
      </c>
      <c r="E8" s="533" t="n"/>
      <c r="F8" s="533" t="n"/>
      <c r="G8" s="533" t="n"/>
      <c r="H8" s="533" t="n"/>
      <c r="I8" s="515"/>
    </row>
    <row r="9" ht="90.0" customHeight="1">
      <c r="A9" s="534" t="inlineStr">
        <is>
          <t>Yes</t>
        </is>
      </c>
      <c r="B9" s="553" t="n"/>
      <c r="C9" s="553" t="n"/>
      <c r="D9" s="582" t="n"/>
      <c r="E9" s="536">
        <f>IFERROR(IF(OR(ISBLANK(B9),ISBLANK(C9),ISBLANK(D9)),"Not started",IF(AND(ABS(B9-(96))&lt;=1e-09,ABS(C9-(176))&lt;=1e-09,ABS(D9-(272))&lt;=1e-09),"Result matches","Check the result")),"Formula error")</f>
        <v/>
      </c>
      <c r="F9" s="537" t="n"/>
      <c r="G9" s="538" t="inlineStr">
        <is>
          <t>Yes. Practice check: 96; use the cell's stated units. Do not convert blank categories to No.</t>
        </is>
      </c>
      <c r="H9" s="537" t="n"/>
      <c r="I9" s="530" t="str">
        <v>B9:C9: Section study support: Slides 11, 15, 17, 20. Concise Toolkit pp. 4-10
After-class AI question: Explain Contingency Table Probabilities. Use a different example, then ask me one check question.</v>
      </c>
    </row>
    <row r="10" ht="90.0" customHeight="1">
      <c r="A10" s="534" t="inlineStr">
        <is>
          <t>No</t>
        </is>
      </c>
      <c r="B10" s="553" t="n"/>
      <c r="C10" s="553" t="n"/>
      <c r="D10" s="583" t="n"/>
      <c r="E10" s="536">
        <f>IFERROR(IF(OR(ISBLANK(B10),ISBLANK(C10),ISBLANK(D10)),"Not started",IF(AND(ABS(B10-(24))&lt;=1e-09,ABS(C10-(704))&lt;=1e-09,ABS(D10-(728))&lt;=1e-09),"Result matches","Check the result")),"Formula error")</f>
        <v/>
      </c>
      <c r="F10" s="537" t="n"/>
      <c r="G10" s="538" t="inlineStr">
        <is>
          <t>No. Practice check: 24; use the cell's stated units. Do not convert blank categories to No.</t>
        </is>
      </c>
      <c r="H10" s="537" t="n"/>
      <c r="I10" s="530" t="str">
        <v>B10:C10: Section study support: Slides 11, 15, 17, 20. Concise Toolkit pp. 4-10
After-class AI question: Explain Contingency Table Probabilities. Use a different example, then ask me one check question.</v>
      </c>
    </row>
    <row r="11" ht="90.0" customHeight="1">
      <c r="A11" s="534" t="inlineStr">
        <is>
          <t xml:space="preserve">4 · Column total</t>
        </is>
      </c>
      <c r="B11" s="582" t="n"/>
      <c r="C11" s="582" t="n"/>
      <c r="D11" s="582" t="n"/>
      <c r="E11" s="536">
        <f>IFERROR(IF(OR(ISBLANK(B11),ISBLANK(C11),ISBLANK(D11)),"Not started",IF(AND(ABS(B11-(120))&lt;=1e-09,ABS(C11-(880))&lt;=1e-09,ABS(D11-(1000))&lt;=1e-09),"Result matches","Check the result")),"Formula error")</f>
        <v/>
      </c>
      <c r="F11" s="537" t="n"/>
      <c r="G11" s="538" t="inlineStr">
        <is>
          <t>Column total. Practice check: 120; use the cell's stated units. Do not assume the complete-pair count always equals the raw source-row count.</t>
        </is>
      </c>
      <c r="H11" s="537" t="n"/>
      <c r="I11" s="530" t="str">
        <v>B11:D11: Section study support: Slides 11, 15, 17, 20. Concise Toolkit pp. 4-10
After-class AI question: Explain Contingency Table Probabilities. Use a different example, then ask me one check question.</v>
      </c>
    </row>
    <row r="12">
      <c r="A12" s="533" t="n"/>
      <c r="B12" s="533" t="n"/>
      <c r="C12" s="533" t="n"/>
      <c r="D12" s="533" t="n"/>
      <c r="E12" s="533" t="n"/>
      <c r="F12" s="533" t="n"/>
      <c r="G12" s="533" t="n"/>
      <c r="H12" s="533" t="n"/>
      <c r="I12" s="515"/>
    </row>
    <row r="13" ht="90.0" customHeight="1">
      <c r="A13" s="534" t="inlineStr">
        <is>
          <t xml:space="preserve">5 · Baseline churn probability</t>
        </is>
      </c>
      <c r="B13" s="554" t="n"/>
      <c r="C13" s="536">
        <f>IFERROR(IF(OR(ISBLANK(B13)),"Not started",IF(AND(ABS(B13-(0.12))&lt;=0.0015),"Result matches","Check the result")),"Formula error")</f>
        <v/>
      </c>
      <c r="D13" s="537" t="n"/>
      <c r="E13" s="538" t="inlineStr">
        <is>
          <t xml:space="preserve">Baseline churn probability. Practice check: 12.0%; use the cell's stated units. Do not divide by a ticket subgroup when calculating the baseline.</t>
        </is>
      </c>
      <c r="F13" s="537" t="n"/>
      <c r="G13" s="537" t="n"/>
      <c r="H13" s="537" t="n"/>
      <c r="I13" s="530" t="str">
        <v>B13: Section study support: Slides 11, 15, 17, 20. Concise Toolkit pp. 4-10
After-class AI question: Explain Contingency Table Probabilities. Use a different example, then ask me one check question.</v>
      </c>
    </row>
    <row r="14" ht="90.0" customHeight="1">
      <c r="A14" s="534" t="inlineStr">
        <is>
          <t xml:space="preserve">6 · High-ticket marginal probability</t>
        </is>
      </c>
      <c r="B14" s="554" t="n"/>
      <c r="C14" s="536">
        <f>IFERROR(IF(OR(ISBLANK(B14)),"Not started",IF(AND(ABS(B14-(0.272))&lt;=0.0015),"Result matches","Check the result")),"Formula error")</f>
        <v/>
      </c>
      <c r="D14" s="537" t="n"/>
      <c r="E14" s="538" t="inlineStr">
        <is>
          <t xml:space="preserve">High-ticket marginal probability. Practice check: 27.2%; use the cell's stated units. Do not use all rows if Churn is missing.</t>
        </is>
      </c>
      <c r="F14" s="537" t="n"/>
      <c r="G14" s="537" t="n"/>
      <c r="H14" s="537" t="n"/>
      <c r="I14" s="530" t="str">
        <v>B14: Section study support: Slides 11, 15, 17, 20. Concise Toolkit pp. 4-10
After-class AI question: Explain Contingency Table Probabilities. Use a different example, then ask me one check question.</v>
      </c>
    </row>
    <row r="15" ht="90.0" customHeight="1">
      <c r="A15" s="534" t="inlineStr">
        <is>
          <t xml:space="preserve">7 · Joint churn and high-ticket probability</t>
        </is>
      </c>
      <c r="B15" s="554" t="n"/>
      <c r="C15" s="536">
        <f>IFERROR(IF(OR(ISBLANK(B15)),"Not started",IF(AND(ABS(B15-(0.096))&lt;=0.0015),"Result matches","Check the result")),"Formula error")</f>
        <v/>
      </c>
      <c r="D15" s="537" t="n"/>
      <c r="E15" s="538" t="inlineStr">
        <is>
          <t xml:space="preserve">Joint churn and high-ticket probability. Practice check: 9.6%; use the cell's stated units. Do not divide by only the high-ticket subgroup for a joint probability.</t>
        </is>
      </c>
      <c r="F15" s="537" t="n"/>
      <c r="G15" s="537" t="n"/>
      <c r="H15" s="537" t="n"/>
      <c r="I15" s="530" t="str">
        <v>B15: Section study support: Slides 11, 15, 17, 20. Concise Toolkit pp. 4-10
After-class AI question: Explain Contingency Table Probabilities. Use a different example, then ask me one check question.</v>
      </c>
    </row>
    <row r="16" ht="90.0" customHeight="1">
      <c r="A16" s="534" t="inlineStr">
        <is>
          <t xml:space="preserve">8 · Churn or high-ticket union</t>
        </is>
      </c>
      <c r="B16" s="554" t="n"/>
      <c r="C16" s="536">
        <f>IFERROR(IF(OR(ISBLANK(B16)),"Not started",IF(AND(ABS(B16-(0.296))&lt;=0.0015),"Result matches","Check the result")),"Formula error")</f>
        <v/>
      </c>
      <c r="D16" s="537" t="n"/>
      <c r="E16" s="538" t="inlineStr">
        <is>
          <t xml:space="preserve">Churn or high-ticket union. Practice check: 29.6%; use the cell's stated units. Do not add the margins without subtracting their overlap.</t>
        </is>
      </c>
      <c r="F16" s="537" t="n"/>
      <c r="G16" s="537" t="n"/>
      <c r="H16" s="537" t="n"/>
      <c r="I16" s="530" t="str">
        <v>B16: Section study support: Slides 11, 15, 17, 20. Concise Toolkit pp. 4-10
After-class AI question: Explain Contingency Table Probabilities. Use a different example, then ask me one check question.</v>
      </c>
    </row>
    <row r="17" ht="90.0" customHeight="1">
      <c r="A17" s="534" t="inlineStr">
        <is>
          <t xml:space="preserve">9 · P(HighTickets | Churn)</t>
        </is>
      </c>
      <c r="B17" s="554" t="n"/>
      <c r="C17" s="536">
        <f>IFERROR(IF(OR(ISBLANK(B17)),"Not started",IF(AND(ABS(B17-(0.8))&lt;=0.0016),"Result matches","Check the result")),"Formula error")</f>
        <v/>
      </c>
      <c r="D17" s="537" t="n"/>
      <c r="E17" s="538" t="inlineStr">
        <is>
          <t xml:space="preserve">P(HighTickets | Churn). Practice check: 80.0%; use the cell's stated units. Do not reverse the condition when reporting the stakeholder risk.</t>
        </is>
      </c>
      <c r="F17" s="537" t="n"/>
      <c r="G17" s="537" t="n"/>
      <c r="H17" s="537" t="n"/>
      <c r="I17" s="530" t="str">
        <v>B17: Section study support: Slides 11, 15, 17, 20. Concise Toolkit pp. 4-10
After-class AI question: Explain Bayesian Updating. Use a different example, then ask me one check question.</v>
      </c>
    </row>
    <row r="18" ht="90.0" customHeight="1">
      <c r="A18" s="534" t="inlineStr">
        <is>
          <t xml:space="preserve">10 · P(Churn | HighTickets)</t>
        </is>
      </c>
      <c r="B18" s="554" t="n"/>
      <c r="C18" s="536">
        <f>IFERROR(IF(OR(ISBLANK(B18)),"Not started",IF(AND(ABS(B18-(0.352941176470588))&lt;=0.0015),"Result matches","Check the result")),"Formula error")</f>
        <v/>
      </c>
      <c r="D18" s="537" t="n"/>
      <c r="E18" s="538" t="inlineStr">
        <is>
          <t>P(Churn | HighTickets). Practice check: 0.352941; use the cell's stated units. Do not use all source rows or the churned count as the denominator.</t>
        </is>
      </c>
      <c r="F18" s="537" t="n"/>
      <c r="G18" s="537" t="n"/>
      <c r="H18" s="537" t="n"/>
      <c r="I18" s="530" t="str">
        <v>B18: Section study support: Slides 11, 15, 17, 20. Concise Toolkit pp. 4-10
After-class AI question: Explain Bayesian Updating. Use a different example, then ask me one check question.</v>
      </c>
    </row>
    <row r="19">
      <c r="A19" s="533" t="n"/>
      <c r="B19" s="533" t="n"/>
      <c r="C19" s="533" t="n"/>
      <c r="D19" s="533" t="n"/>
      <c r="E19" s="533" t="n"/>
      <c r="F19" s="533" t="n"/>
      <c r="G19" s="533" t="n"/>
      <c r="H19" s="533" t="n"/>
      <c r="I19" s="515"/>
    </row>
    <row r="20" ht="90.0" customHeight="1">
      <c r="A20" s="534" t="inlineStr">
        <is>
          <t>Interpretation</t>
        </is>
      </c>
      <c r="B20" s="555" t="n"/>
      <c r="C20" s="556" t="n"/>
      <c r="D20" s="556" t="n"/>
      <c r="E20" s="556" t="n"/>
      <c r="F20" s="556" t="n"/>
      <c r="G20" s="556" t="n"/>
      <c r="H20" s="557" t="n"/>
      <c r="I20" s="530" t="str">
        <v>B20: Slides 20-21. Concise Toolkit pp. 4-10
After-class AI question: Explain Cross-Tabulation and Conditional Churn Risk. Use a different example, then ask me one check question.</v>
      </c>
    </row>
    <row r="21" ht="30" customHeight="1">
      <c r="A21" s="534" t="inlineStr">
        <is>
          <t>Reason</t>
        </is>
      </c>
      <c r="B21" s="558" t="inlineStr">
        <is>
          <t>[Replace with 2-3 sentences: state the numerator, denominator, comparison with baseline, and association-only limitation.]</t>
        </is>
      </c>
      <c r="C21" s="559" t="n"/>
      <c r="D21" s="559" t="n"/>
      <c r="E21" s="559" t="n"/>
      <c r="F21" s="559" t="n"/>
      <c r="G21" s="559" t="n"/>
      <c r="H21" s="560" t="n"/>
      <c r="I21" s="530" t="str">
        <v>B21: Slides 20-21. Concise Toolkit pp. 4-10
After-class AI question: Explain Cross-Tabulation and Conditional Churn Risk. Use a different example, then ask me one check question.</v>
      </c>
    </row>
    <row r="22" ht="30" customHeight="1">
      <c r="A22" s="533" t="n"/>
      <c r="B22" s="561" t="n"/>
      <c r="C22" s="548" t="n"/>
      <c r="D22" s="548" t="n"/>
      <c r="E22" s="548" t="n"/>
      <c r="F22" s="548" t="n"/>
      <c r="G22" s="548" t="n"/>
      <c r="H22" s="562" t="n"/>
      <c r="I22" s="530"/>
    </row>
    <row r="23" ht="30" customHeight="1">
      <c r="A23" s="533" t="n"/>
      <c r="B23" s="563" t="n"/>
      <c r="C23" s="564" t="n"/>
      <c r="D23" s="564" t="n"/>
      <c r="E23" s="564" t="n"/>
      <c r="F23" s="564" t="n"/>
      <c r="G23" s="564" t="n"/>
      <c r="H23" s="565" t="n"/>
      <c r="I23" s="530"/>
    </row>
    <row r="24">
      <c r="A24" s="533" t="n"/>
      <c r="B24" s="533" t="n"/>
      <c r="C24" s="533" t="n"/>
      <c r="D24" s="533" t="n"/>
      <c r="E24" s="533" t="n"/>
      <c r="F24" s="533" t="n"/>
      <c r="G24" s="533" t="n"/>
      <c r="H24" s="533" t="n"/>
      <c r="I24" s="515"/>
    </row>
    <row r="25" ht="42.0" customHeight="1">
      <c r="A25" s="534" t="inlineStr">
        <is>
          <t>H1 evidence caption</t>
        </is>
      </c>
      <c r="B25" s="558" t="inlineStr">
        <is>
          <t>[Replace with 1-2 sentences: name H1 Conditional Churn Risk, identify the count and column percentage read, and state the Excel agreement check.]</t>
        </is>
      </c>
      <c r="C25" s="559" t="n"/>
      <c r="D25" s="559" t="n"/>
      <c r="E25" s="559" t="n"/>
      <c r="F25" s="559" t="n"/>
      <c r="G25" s="559" t="n"/>
      <c r="H25" s="560" t="n"/>
      <c r="I25" s="530" t="str">
        <v>B25: Slides 20-21. Concise Toolkit pp. 4-10
After-class AI question: Explain Cross-Tabulation and Conditional Churn Risk. Use a different example, then ask me one check question.</v>
      </c>
    </row>
    <row r="26" ht="42.0" customHeight="1">
      <c r="A26" s="533" t="n"/>
      <c r="B26" s="563" t="n"/>
      <c r="C26" s="564" t="n"/>
      <c r="D26" s="564" t="n"/>
      <c r="E26" s="564" t="n"/>
      <c r="F26" s="564" t="n"/>
      <c r="G26" s="564" t="n"/>
      <c r="H26" s="565" t="n"/>
      <c r="I26" s="530"/>
    </row>
    <row r="27">
      <c r="A27" s="533" t="n"/>
      <c r="B27" s="533" t="n"/>
      <c r="C27" s="533" t="n"/>
      <c r="D27" s="533" t="n"/>
      <c r="E27" s="533" t="n"/>
      <c r="F27" s="533" t="n"/>
      <c r="G27" s="533" t="n"/>
      <c r="H27" s="533" t="n"/>
      <c r="I27" s="515"/>
    </row>
    <row r="28">
      <c r="A28" s="533" t="n"/>
      <c r="B28" s="533" t="n"/>
      <c r="C28" s="533" t="n"/>
      <c r="D28" s="533" t="n"/>
      <c r="E28" s="533" t="n"/>
      <c r="F28" s="533" t="n"/>
      <c r="G28" s="533" t="n"/>
      <c r="H28" s="533" t="n"/>
      <c r="I28" s="515"/>
    </row>
    <row r="29">
      <c r="A29" s="533" t="inlineStr">
        <is>
          <t>Check your work</t>
        </is>
      </c>
      <c r="B29" s="533" t="inlineStr">
        <is>
          <t>Status</t>
        </is>
      </c>
      <c r="C29" s="533" t="n"/>
      <c r="D29" s="533" t="n"/>
      <c r="E29" s="533" t="n"/>
      <c r="F29" s="533" t="n"/>
      <c r="G29" s="533" t="n"/>
      <c r="H29" s="533" t="n"/>
      <c r="I29" s="515"/>
    </row>
    <row r="30">
      <c r="A30" s="533" t="inlineStr">
        <is>
          <t>Source rows</t>
        </is>
      </c>
      <c r="B30" s="533">
        <f>IFERROR(IF('IN-CLASS_Lab Part A'!B7="","Not started",IF(ABS('IN-CLASS_Lab Part A'!B7-(1000))&lt;=1e-09,"✓ Checked","Recheck method")),"Recheck formula")</f>
        <v/>
      </c>
      <c r="C30" s="533" t="n"/>
      <c r="D30" s="533" t="n"/>
      <c r="E30" s="533" t="n"/>
      <c r="F30" s="533" t="n"/>
      <c r="G30" s="533" t="n"/>
      <c r="H30" s="533" t="n"/>
      <c r="I30" s="515"/>
    </row>
    <row r="31">
      <c r="A31" s="533" t="inlineStr">
        <is>
          <t>Yes yes</t>
        </is>
      </c>
      <c r="B31" s="533">
        <f>IFERROR(IF('IN-CLASS_Lab Part A'!B9="","Not started",IF(ABS('IN-CLASS_Lab Part A'!B9-(96))&lt;=1e-09,"✓ Checked","Recheck method")),"Recheck formula")</f>
        <v/>
      </c>
      <c r="C31" s="533" t="n"/>
      <c r="D31" s="533" t="n"/>
      <c r="E31" s="533" t="n"/>
      <c r="F31" s="533" t="n"/>
      <c r="G31" s="533" t="n"/>
      <c r="H31" s="533" t="n"/>
      <c r="I31" s="515"/>
    </row>
    <row r="32">
      <c r="A32" s="533" t="inlineStr">
        <is>
          <t>Yes no</t>
        </is>
      </c>
      <c r="B32" s="533">
        <f>IFERROR(IF('IN-CLASS_Lab Part A'!C9="","Not started",IF(ABS('IN-CLASS_Lab Part A'!C9-(176))&lt;=1e-09,"✓ Checked","Recheck method")),"Recheck formula")</f>
        <v/>
      </c>
      <c r="C32" s="533" t="n"/>
      <c r="D32" s="533" t="n"/>
      <c r="E32" s="533" t="n"/>
      <c r="F32" s="533" t="n"/>
      <c r="G32" s="533" t="n"/>
      <c r="H32" s="533" t="n"/>
      <c r="I32" s="515"/>
    </row>
    <row r="33">
      <c r="A33" s="533" t="inlineStr">
        <is>
          <t>No yes</t>
        </is>
      </c>
      <c r="B33" s="533">
        <f>IFERROR(IF('IN-CLASS_Lab Part A'!B10="","Not started",IF(ABS('IN-CLASS_Lab Part A'!B10-(24))&lt;=1e-09,"✓ Checked","Recheck method")),"Recheck formula")</f>
        <v/>
      </c>
      <c r="C33" s="533" t="n"/>
      <c r="D33" s="533" t="n"/>
      <c r="E33" s="533" t="n"/>
      <c r="F33" s="533" t="n"/>
      <c r="G33" s="533" t="n"/>
      <c r="H33" s="533" t="n"/>
      <c r="I33" s="515"/>
    </row>
    <row r="34">
      <c r="A34" s="533" t="inlineStr">
        <is>
          <t>No no</t>
        </is>
      </c>
      <c r="B34" s="533">
        <f>IFERROR(IF('IN-CLASS_Lab Part A'!C10="","Not started",IF(ABS('IN-CLASS_Lab Part A'!C10-(704))&lt;=1e-09,"✓ Checked","Recheck method")),"Recheck formula")</f>
        <v/>
      </c>
      <c r="C34" s="533" t="n"/>
      <c r="D34" s="533" t="n"/>
      <c r="E34" s="533" t="n"/>
      <c r="F34" s="533" t="n"/>
      <c r="G34" s="533" t="n"/>
      <c r="H34" s="533" t="n"/>
      <c r="I34" s="515"/>
    </row>
    <row r="35">
      <c r="A35" s="533" t="inlineStr">
        <is>
          <t>High yes total</t>
        </is>
      </c>
      <c r="B35" s="533">
        <f>IFERROR(IF('IN-CLASS_Lab Part A'!D9="","Not started",IF(ABS('IN-CLASS_Lab Part A'!D9-(272))&lt;=1e-09,"✓ Checked","Recheck method")),"Recheck formula")</f>
        <v/>
      </c>
      <c r="C35" s="533" t="n"/>
      <c r="D35" s="533" t="n"/>
      <c r="E35" s="533" t="n"/>
      <c r="F35" s="533" t="n"/>
      <c r="G35" s="533" t="n"/>
      <c r="H35" s="533" t="n"/>
      <c r="I35" s="515"/>
    </row>
    <row r="36">
      <c r="A36" s="533" t="inlineStr">
        <is>
          <t>High no total</t>
        </is>
      </c>
      <c r="B36" s="533">
        <f>IFERROR(IF('IN-CLASS_Lab Part A'!D10="","Not started",IF(ABS('IN-CLASS_Lab Part A'!D10-(728))&lt;=1e-09,"✓ Checked","Recheck method")),"Recheck formula")</f>
        <v/>
      </c>
      <c r="C36" s="533" t="n"/>
      <c r="D36" s="533" t="n"/>
      <c r="E36" s="533" t="n"/>
      <c r="F36" s="533" t="n"/>
      <c r="G36" s="533" t="n"/>
      <c r="H36" s="533" t="n"/>
      <c r="I36" s="515"/>
    </row>
    <row r="37">
      <c r="A37" s="533" t="inlineStr">
        <is>
          <t>Churn yes total</t>
        </is>
      </c>
      <c r="B37" s="533">
        <f>IFERROR(IF('IN-CLASS_Lab Part A'!B11="","Not started",IF(ABS('IN-CLASS_Lab Part A'!B11-(120))&lt;=1e-09,"✓ Checked","Recheck method")),"Recheck formula")</f>
        <v/>
      </c>
      <c r="C37" s="533" t="n"/>
      <c r="D37" s="533" t="n"/>
      <c r="E37" s="533" t="n"/>
      <c r="F37" s="533" t="n"/>
      <c r="G37" s="533" t="n"/>
      <c r="H37" s="533" t="n"/>
      <c r="I37" s="515"/>
    </row>
    <row r="38">
      <c r="A38" s="533" t="inlineStr">
        <is>
          <t>Churn no total</t>
        </is>
      </c>
      <c r="B38" s="533">
        <f>IFERROR(IF('IN-CLASS_Lab Part A'!C11="","Not started",IF(ABS('IN-CLASS_Lab Part A'!C11-(880))&lt;=1e-09,"✓ Checked","Recheck method")),"Recheck formula")</f>
        <v/>
      </c>
      <c r="C38" s="533" t="n"/>
      <c r="D38" s="533" t="n"/>
      <c r="E38" s="533" t="n"/>
      <c r="F38" s="533" t="n"/>
      <c r="G38" s="533" t="n"/>
      <c r="H38" s="533" t="n"/>
      <c r="I38" s="515"/>
    </row>
    <row r="39">
      <c r="A39" s="533" t="inlineStr">
        <is>
          <t>Complete pairs</t>
        </is>
      </c>
      <c r="B39" s="533">
        <f>IFERROR(IF('IN-CLASS_Lab Part A'!D11="","Not started",IF(ABS('IN-CLASS_Lab Part A'!D11-(1000))&lt;=1e-09,"✓ Checked","Recheck method")),"Recheck formula")</f>
        <v/>
      </c>
      <c r="C39" s="533" t="n"/>
      <c r="D39" s="533" t="n"/>
      <c r="E39" s="533" t="n"/>
      <c r="F39" s="533" t="n"/>
      <c r="G39" s="533" t="n"/>
      <c r="H39" s="533" t="n"/>
      <c r="I39" s="515"/>
    </row>
    <row r="40">
      <c r="A40" s="533" t="inlineStr">
        <is>
          <t>Baseline churn</t>
        </is>
      </c>
      <c r="B40" s="533">
        <f>IFERROR(IF('IN-CLASS_Lab Part A'!B13="","Not started",IF(ABS('IN-CLASS_Lab Part A'!B13-(0.12))&lt;=0.0015,"✓ Checked","Recheck method")),"Recheck formula")</f>
        <v/>
      </c>
      <c r="C40" s="533" t="n"/>
      <c r="D40" s="533" t="n"/>
      <c r="E40" s="533" t="n"/>
      <c r="F40" s="533" t="n"/>
      <c r="G40" s="533" t="n"/>
      <c r="H40" s="533" t="n"/>
      <c r="I40" s="515"/>
    </row>
    <row r="41">
      <c r="A41" s="533" t="inlineStr">
        <is>
          <t>High ticket margin</t>
        </is>
      </c>
      <c r="B41" s="533">
        <f>IFERROR(IF('IN-CLASS_Lab Part A'!B14="","Not started",IF(ABS('IN-CLASS_Lab Part A'!B14-(0.272))&lt;=0.0015,"✓ Checked","Recheck method")),"Recheck formula")</f>
        <v/>
      </c>
      <c r="C41" s="533" t="n"/>
      <c r="D41" s="533" t="n"/>
      <c r="E41" s="533" t="n"/>
      <c r="F41" s="533" t="n"/>
      <c r="G41" s="533" t="n"/>
      <c r="H41" s="533" t="n"/>
    </row>
    <row r="42">
      <c r="A42" s="533" t="inlineStr">
        <is>
          <t>Joint probability</t>
        </is>
      </c>
      <c r="B42" s="533">
        <f>IFERROR(IF('IN-CLASS_Lab Part A'!B15="","Not started",IF(ABS('IN-CLASS_Lab Part A'!B15-(0.096))&lt;=0.0015,"✓ Checked","Recheck method")),"Recheck formula")</f>
        <v/>
      </c>
      <c r="C42" s="533" t="n"/>
      <c r="D42" s="533" t="n"/>
      <c r="E42" s="533" t="n"/>
      <c r="F42" s="533" t="n"/>
      <c r="G42" s="533" t="n"/>
      <c r="H42" s="533" t="n"/>
    </row>
    <row r="43">
      <c r="A43" s="533" t="inlineStr">
        <is>
          <t>Union probability</t>
        </is>
      </c>
      <c r="B43" s="533">
        <f>IFERROR(IF('IN-CLASS_Lab Part A'!B16="","Not started",IF(ABS('IN-CLASS_Lab Part A'!B16-(0.296))&lt;=0.0015,"✓ Checked","Recheck method")),"Recheck formula")</f>
        <v/>
      </c>
      <c r="C43" s="533" t="n"/>
      <c r="D43" s="533" t="n"/>
      <c r="E43" s="533" t="n"/>
      <c r="F43" s="533" t="n"/>
      <c r="G43" s="533" t="n"/>
      <c r="H43" s="533" t="n"/>
    </row>
    <row r="44">
      <c r="A44" s="533" t="inlineStr">
        <is>
          <t>High given churn</t>
        </is>
      </c>
      <c r="B44" s="533">
        <f>IFERROR(IF('IN-CLASS_Lab Part A'!B17="","Not started",IF(ABS('IN-CLASS_Lab Part A'!B17-(0.8))&lt;=0.0016,"✓ Checked","Recheck method")),"Recheck formula")</f>
        <v/>
      </c>
      <c r="C44" s="533" t="n"/>
      <c r="D44" s="533" t="n"/>
      <c r="E44" s="533" t="n"/>
      <c r="F44" s="533" t="n"/>
      <c r="G44" s="533" t="n"/>
      <c r="H44" s="533" t="n"/>
    </row>
    <row r="45">
      <c r="A45" s="533" t="inlineStr">
        <is>
          <t>Churn given high</t>
        </is>
      </c>
      <c r="B45" s="533">
        <f>IFERROR(IF('IN-CLASS_Lab Part A'!B18="","Not started",IF(ABS('IN-CLASS_Lab Part A'!B18-(0.352941176470588))&lt;=0.0015,"✓ Checked","Recheck method")),"Recheck formula")</f>
        <v/>
      </c>
      <c r="C45" s="533" t="n"/>
      <c r="D45" s="533" t="n"/>
      <c r="E45" s="533" t="n"/>
      <c r="F45" s="533" t="n"/>
      <c r="G45" s="533" t="n"/>
      <c r="H45" s="533" t="n"/>
    </row>
    <row r="46">
      <c r="A46" s="533" t="n"/>
      <c r="B46" s="533" t="n"/>
      <c r="C46" s="533" t="n"/>
      <c r="D46" s="533" t="n"/>
      <c r="E46" s="533" t="n"/>
      <c r="F46" s="533" t="n"/>
      <c r="G46" s="533" t="n"/>
      <c r="H46" s="533" t="n"/>
    </row>
    <row r="47" ht="30" customHeight="1">
      <c r="A47" s="533" t="inlineStr">
        <is>
          <t>Formatting is already set. Enter your formula, then press Enter. To restore: select cell &gt; Format Cells &gt; Number or Custom.</t>
        </is>
      </c>
      <c r="B47" s="533" t="n"/>
      <c r="C47" s="533" t="n"/>
      <c r="D47" s="533" t="n"/>
      <c r="E47" s="533" t="n"/>
      <c r="F47" s="533" t="n"/>
      <c r="G47" s="533" t="n"/>
      <c r="H47" s="533" t="n"/>
    </row>
    <row r="48" ht="32" customHeight="1">
      <c r="A48" s="533" t="inlineStr">
        <is>
          <t>B7</t>
        </is>
      </c>
      <c r="B48" s="533" t="inlineStr">
        <is>
          <t>Number, 0 decimals, records; unrelated example only: a stored count of 7 displays as 7 records. | Format code: 0</t>
        </is>
      </c>
      <c r="C48" s="533" t="n"/>
      <c r="D48" s="533" t="n"/>
      <c r="E48" s="533" t="n"/>
      <c r="F48" s="533" t="n"/>
      <c r="G48" s="533" t="n"/>
      <c r="H48" s="533" t="n"/>
    </row>
    <row r="49" ht="32" customHeight="1">
      <c r="A49" s="533" t="inlineStr">
        <is>
          <t>B9</t>
        </is>
      </c>
      <c r="B49" s="533" t="inlineStr">
        <is>
          <t>Number, 0 decimals, records; unrelated example only: a stored count of 7 displays as 7 records. | Format code: 0</t>
        </is>
      </c>
      <c r="C49" s="533" t="n"/>
      <c r="D49" s="533" t="n"/>
      <c r="E49" s="533" t="n"/>
      <c r="F49" s="533" t="n"/>
      <c r="G49" s="533" t="n"/>
      <c r="H49" s="533" t="n"/>
    </row>
    <row r="50" ht="32" customHeight="1">
      <c r="A50" s="533" t="inlineStr">
        <is>
          <t>D9</t>
        </is>
      </c>
      <c r="B50" s="533" t="inlineStr">
        <is>
          <t>Number, 0 decimals, records; unrelated example only: a stored count of 7 displays as 7 records. | Format code: 0</t>
        </is>
      </c>
      <c r="C50" s="533" t="n"/>
      <c r="D50" s="533" t="n"/>
      <c r="E50" s="533" t="n"/>
      <c r="F50" s="533" t="n"/>
      <c r="G50" s="533" t="n"/>
      <c r="H50" s="533" t="n"/>
    </row>
    <row r="51" ht="32" customHeight="1">
      <c r="A51" s="533" t="inlineStr">
        <is>
          <t>B11</t>
        </is>
      </c>
      <c r="B51" s="533" t="inlineStr">
        <is>
          <t>Number, 0 decimals, records; unrelated example only: a stored count of 7 displays as 7 records. | Format code: 0</t>
        </is>
      </c>
      <c r="C51" s="533" t="n"/>
      <c r="D51" s="533" t="n"/>
      <c r="E51" s="533" t="n"/>
      <c r="F51" s="533" t="n"/>
      <c r="G51" s="533" t="n"/>
      <c r="H51" s="533" t="n"/>
    </row>
    <row r="52" ht="32" customHeight="1">
      <c r="A52" s="533" t="inlineStr">
        <is>
          <t>B13</t>
        </is>
      </c>
      <c r="B52" s="533" t="inlineStr">
        <is>
          <t>Percentage, 1 decimal; unrelated example only: a stored fraction of 0.125 displays as 12.5%; do not multiply by 100. | Format code: 0.0%</t>
        </is>
      </c>
      <c r="C52" s="533" t="n"/>
      <c r="D52" s="533" t="n"/>
      <c r="E52" s="533" t="n"/>
      <c r="F52" s="533" t="n"/>
      <c r="G52" s="533" t="n"/>
      <c r="H52" s="533" t="n"/>
    </row>
    <row r="53" ht="32" customHeight="1">
      <c r="A53" s="533" t="inlineStr">
        <is>
          <t>B14</t>
        </is>
      </c>
      <c r="B53" s="533" t="inlineStr">
        <is>
          <t>Percentage, 1 decimal; unrelated example only: a stored fraction of 0.125 displays as 12.5%; do not multiply by 100. | Format code: 0.0%</t>
        </is>
      </c>
      <c r="C53" s="533" t="n"/>
      <c r="D53" s="533" t="n"/>
      <c r="E53" s="533" t="n"/>
      <c r="F53" s="533" t="n"/>
      <c r="G53" s="533" t="n"/>
      <c r="H53" s="533" t="n"/>
    </row>
    <row r="54" ht="32" customHeight="1">
      <c r="A54" s="533" t="inlineStr">
        <is>
          <t>B15</t>
        </is>
      </c>
      <c r="B54" s="533" t="inlineStr">
        <is>
          <t>Percentage, 1 decimal; unrelated example only: a stored fraction of 0.125 displays as 12.5%; do not multiply by 100. | Format code: 0.0%</t>
        </is>
      </c>
      <c r="C54" s="533" t="n"/>
      <c r="D54" s="533" t="n"/>
      <c r="E54" s="533" t="n"/>
      <c r="F54" s="533" t="n"/>
      <c r="G54" s="533" t="n"/>
      <c r="H54" s="533" t="n"/>
    </row>
    <row r="55" ht="32" customHeight="1">
      <c r="A55" s="533" t="inlineStr">
        <is>
          <t>B16</t>
        </is>
      </c>
      <c r="B55" s="533" t="inlineStr">
        <is>
          <t>Percentage, 1 decimal; unrelated example only: a stored fraction of 0.125 displays as 12.5%; do not multiply by 100. | Format code: 0.0%</t>
        </is>
      </c>
      <c r="C55" s="533" t="n"/>
      <c r="D55" s="533" t="n"/>
      <c r="E55" s="533" t="n"/>
      <c r="F55" s="533" t="n"/>
      <c r="G55" s="533" t="n"/>
      <c r="H55" s="533" t="n"/>
    </row>
    <row r="56" ht="32" customHeight="1">
      <c r="A56" s="533" t="inlineStr">
        <is>
          <t>B17</t>
        </is>
      </c>
      <c r="B56" s="533" t="inlineStr">
        <is>
          <t>Percentage, 1 decimal; unrelated example only: a stored fraction of 0.125 displays as 12.5%; do not multiply by 100. | Format code: 0.0%</t>
        </is>
      </c>
      <c r="C56" s="533" t="n"/>
      <c r="D56" s="533" t="n"/>
      <c r="E56" s="533" t="n"/>
      <c r="F56" s="533" t="n"/>
      <c r="G56" s="533" t="n"/>
      <c r="H56" s="533" t="n"/>
    </row>
    <row r="57" ht="32" customHeight="1">
      <c r="A57" s="533" t="inlineStr">
        <is>
          <t>B18</t>
        </is>
      </c>
      <c r="B57" s="533" t="inlineStr">
        <is>
          <t>Percentage, 1 decimal; unrelated example only: a stored fraction of 0.125 displays as 12.5%; do not multiply by 100. | Format code: 0.0%</t>
        </is>
      </c>
      <c r="C57" s="533" t="n"/>
      <c r="D57" s="533" t="n"/>
      <c r="E57" s="533" t="n"/>
      <c r="F57" s="533" t="n"/>
      <c r="G57" s="533" t="n"/>
      <c r="H57" s="533" t="n"/>
    </row>
    <row r="58" ht="32" customHeight="1">
      <c r="A58" s="533" t="inlineStr">
        <is>
          <t>C9</t>
        </is>
      </c>
      <c r="B58" s="533" t="inlineStr">
        <is>
          <t>Number, 0 decimals, records; unrelated example only: a stored count of 7 displays as 7 records. | Format code: 0</t>
        </is>
      </c>
      <c r="C58" s="533" t="n"/>
      <c r="D58" s="533" t="n"/>
      <c r="E58" s="533" t="n"/>
      <c r="F58" s="533" t="n"/>
      <c r="G58" s="533" t="n"/>
      <c r="H58" s="533" t="n"/>
    </row>
    <row r="59" ht="32" customHeight="1">
      <c r="A59" s="533" t="inlineStr">
        <is>
          <t>B10</t>
        </is>
      </c>
      <c r="B59" s="533" t="inlineStr">
        <is>
          <t>Number, 0 decimals, records; unrelated example only: a stored count of 7 displays as 7 records. | Format code: 0</t>
        </is>
      </c>
      <c r="C59" s="533" t="n"/>
      <c r="D59" s="533" t="n"/>
      <c r="E59" s="533" t="n"/>
      <c r="F59" s="533" t="n"/>
      <c r="G59" s="533" t="n"/>
      <c r="H59" s="533" t="n"/>
    </row>
    <row r="60" ht="32" customHeight="1">
      <c r="A60" s="533" t="inlineStr">
        <is>
          <t>C10</t>
        </is>
      </c>
      <c r="B60" s="533" t="inlineStr">
        <is>
          <t>Number, 0 decimals, records; unrelated example only: a stored count of 7 displays as 7 records. | Format code: 0</t>
        </is>
      </c>
      <c r="C60" s="533" t="n"/>
      <c r="D60" s="533" t="n"/>
      <c r="E60" s="533" t="n"/>
      <c r="F60" s="533" t="n"/>
      <c r="G60" s="533" t="n"/>
      <c r="H60" s="533" t="n"/>
    </row>
    <row r="61" ht="32" customHeight="1">
      <c r="A61" s="533" t="inlineStr">
        <is>
          <t>C11</t>
        </is>
      </c>
      <c r="B61" s="533" t="inlineStr">
        <is>
          <t>Number, 0 decimals, records; unrelated example only: a stored count of 7 displays as 7 records. | Format code: 0</t>
        </is>
      </c>
      <c r="C61" s="533" t="n"/>
      <c r="D61" s="533" t="n"/>
      <c r="E61" s="533" t="n"/>
      <c r="F61" s="533" t="n"/>
      <c r="G61" s="533" t="n"/>
      <c r="H61" s="533" t="n"/>
    </row>
    <row r="62" ht="32" customHeight="1">
      <c r="A62" s="533" t="inlineStr">
        <is>
          <t>D11</t>
        </is>
      </c>
      <c r="B62" s="533" t="inlineStr">
        <is>
          <t>Number, 0 decimals, records; unrelated example only: a stored count of 7 displays as 7 records. | Format code: 0</t>
        </is>
      </c>
      <c r="C62" s="533" t="n"/>
      <c r="D62" s="533" t="n"/>
      <c r="E62" s="533" t="n"/>
      <c r="F62" s="533" t="n"/>
      <c r="G62" s="533" t="n"/>
      <c r="H62" s="533" t="n"/>
    </row>
    <row r="64" ht="36" customHeight="1">
      <c r="A64" t="inlineStr" s="584">
        <is>
          <t xml:space="preserve">⚠ Most common mistake: Reporting 80% as the churn risk. That is P(H | C) in B17, the share of churners who had high tickets. The CFO asked for P(C | H): of the 272 high-ticket accounts, how many churned?</t>
        </is>
      </c>
    </row>
  </sheetData>
  <mergeCells count="48">
    <mergeCell ref="C15:D15"/>
    <mergeCell ref="B49:H49"/>
    <mergeCell ref="G11:H11"/>
    <mergeCell ref="B55:H55"/>
    <mergeCell ref="E16:H16"/>
    <mergeCell ref="C14:D14"/>
    <mergeCell ref="E7:H7"/>
    <mergeCell ref="A1:H1"/>
    <mergeCell ref="B51:H51"/>
    <mergeCell ref="B20:H20"/>
    <mergeCell ref="B50:H50"/>
    <mergeCell ref="E18:H18"/>
    <mergeCell ref="C16:D16"/>
    <mergeCell ref="E10:F10"/>
    <mergeCell ref="G10:H10"/>
    <mergeCell ref="B54:H54"/>
    <mergeCell ref="B62:H62"/>
    <mergeCell ref="B59:H59"/>
    <mergeCell ref="E9:F9"/>
    <mergeCell ref="E14:H14"/>
    <mergeCell ref="A3:H3"/>
    <mergeCell ref="E17:H17"/>
    <mergeCell ref="B56:H56"/>
    <mergeCell ref="B58:H58"/>
    <mergeCell ref="B52:H52"/>
    <mergeCell ref="A2:H2"/>
    <mergeCell ref="E11:F11"/>
    <mergeCell ref="B21:H23"/>
    <mergeCell ref="B48:H48"/>
    <mergeCell ref="A47:H47"/>
    <mergeCell ref="A5:H5"/>
    <mergeCell ref="C17:D17"/>
    <mergeCell ref="B60:H60"/>
    <mergeCell ref="B61:H61"/>
    <mergeCell ref="E13:H13"/>
    <mergeCell ref="A4:H4"/>
    <mergeCell ref="C7:D7"/>
    <mergeCell ref="B57:H57"/>
    <mergeCell ref="B53:H53"/>
    <mergeCell ref="E15:H15"/>
    <mergeCell ref="C13:D13"/>
    <mergeCell ref="C18:D18"/>
    <mergeCell ref="G9:H9"/>
    <mergeCell ref="B25:H26"/>
    <mergeCell ref="I5:I6"/>
    <mergeCell ref="I21:I23"/>
    <mergeCell ref="I25:I26"/>
    <mergeCell ref="A64:H64"/>
  </mergeCells>
  <dataValidations count="1">
    <dataValidation sqref="B20" showDropDown="0" showInputMessage="1" showErrorMessage="1" allowBlank="1" errorTitle="Choose one option" error="Use the dropdown, then explain your reason in the adjacent response area." promptTitle="Choose, then explain" prompt="Pick the best statement for your evidence. Nothing is preselected." type="list">
      <formula1>=LabChoices_1</formula1>
    </dataValidation>
  </dataValidations>
  <printOptions horizontalCentered="1"/>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tabColor rgb="0057068C"/>
    <outlinePr summaryBelow="1" summaryRight="1"/>
    <pageSetUpPr fitToPage="1"/>
  </sheetPr>
  <dimension ref="A1:H46"/>
  <sheetViews>
    <sheetView showGridLines="0" zoomScale="90" workbookViewId="0">
      <pane ySplit="6" topLeftCell="A7"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min="9" max="9" width="58" customWidth="1"/>
  </cols>
  <sheetData>
    <row r="1" ht="30" customHeight="1">
      <c r="A1" s="577" t="inlineStr">
        <is>
          <t xml:space="preserve">Part B · Large Hub or Modular Hub?    ⏱ 10 min · from slide 42 → back to slide 43</t>
        </is>
      </c>
      <c r="B1" s="533" t="n"/>
      <c r="C1" s="533" t="n"/>
      <c r="D1" s="533" t="n"/>
      <c r="E1" s="533" t="n"/>
      <c r="F1" s="533" t="n"/>
      <c r="G1" s="533" t="n"/>
      <c r="H1" s="533" t="n"/>
      <c r="I1" s="515"/>
    </row>
    <row r="2" ht="34" customHeight="1">
      <c r="A2" s="578" t="inlineStr">
        <is>
          <t xml:space="preserve">What you're using · Section 2: A decision separates what you control (the alternatives: Large Hub, Modular Hub) from what you don't (the states of nature: high, medium, low demand).   Reread: Slides 25–42; Concise Toolkit pp. 11–18; Full Toolkit pp. 22–41</t>
        </is>
      </c>
      <c r="B2" s="533" t="n"/>
      <c r="C2" s="533" t="n"/>
      <c r="D2" s="533" t="n"/>
      <c r="E2" s="533" t="n"/>
      <c r="F2" s="533" t="n"/>
      <c r="G2" s="533" t="n"/>
      <c r="H2" s="533" t="n"/>
      <c r="I2" s="515"/>
    </row>
    <row r="3" ht="30" customHeight="1">
      <c r="A3" s="579" t="inlineStr">
        <is>
          <t xml:space="preserve">Σᵢ₌₁³ P(sᵢ) = 1 EMV(dⱼ) = Σᵢ₌₁³ P(sᵢ) v(dⱼ, sᵢ)      where dⱼ = alternative (hub) · sᵢ = demand state · v(dⱼ,sᵢ) = net payoff, million dollars</t>
        </is>
      </c>
      <c r="B3" s="533" t="n"/>
      <c r="C3" s="533" t="n"/>
      <c r="D3" s="533" t="n"/>
      <c r="E3" s="533" t="n"/>
      <c r="F3" s="533" t="n"/>
      <c r="G3" s="533" t="n"/>
      <c r="H3" s="533" t="n"/>
      <c r="I3" s="515"/>
    </row>
    <row r="4" ht="22" customHeight="1">
      <c r="A4" s="580" t="str">
        <f>"Progress: "&amp;COUNTIF(B28:B31,"✓ Checked")&amp;" of 4 checked. Save after each ✓."</f>
      </c>
      <c r="B4" s="533" t="n"/>
      <c r="C4" s="533" t="n"/>
      <c r="D4" s="533" t="n"/>
      <c r="E4" s="533" t="n"/>
      <c r="F4" s="533" t="n"/>
      <c r="G4" s="533" t="n"/>
      <c r="H4" s="533" t="n"/>
      <c r="I4" s="515"/>
    </row>
    <row r="5" ht="30" customHeight="1">
      <c r="A5" s="581" t="inlineStr">
        <is>
          <t xml:space="preserve">Open IN-CLASS_Lab Part B!A7.  Save workbook as LAB02_FirstName_LastName_NetID.xlsx.</t>
        </is>
      </c>
      <c r="B5" s="533" t="n"/>
      <c r="C5" s="533" t="n"/>
      <c r="D5" s="533" t="n"/>
      <c r="E5" s="533" t="n"/>
      <c r="F5" s="533" t="n"/>
      <c r="G5" s="533" t="n"/>
      <c r="H5" s="533" t="n"/>
      <c r="I5" s="516" t="str">
        <v>Study help (optional)
Read the pages, then use the AI question if useful.</v>
      </c>
    </row>
    <row r="6">
      <c r="A6" s="533" t="n"/>
      <c r="B6" s="533" t="n"/>
      <c r="C6" s="533" t="n"/>
      <c r="D6" s="533" t="n"/>
      <c r="E6" s="533" t="n"/>
      <c r="F6" s="533" t="n"/>
      <c r="G6" s="533" t="n"/>
      <c r="H6" s="533" t="n"/>
      <c r="I6" s="516"/>
    </row>
    <row r="7" ht="90.0" customHeight="1">
      <c r="A7" s="534" t="inlineStr">
        <is>
          <t xml:space="preserve">1 · Demand-state probability</t>
        </is>
      </c>
      <c r="B7" s="554" t="n"/>
      <c r="C7" s="554" t="n"/>
      <c r="D7" s="554" t="n"/>
      <c r="E7" s="533" t="n"/>
      <c r="F7" s="533" t="n"/>
      <c r="G7" s="533" t="n"/>
      <c r="H7" s="533" t="n"/>
      <c r="I7" s="530" t="str">
        <v>B7:D7: Section study support: Slides 27, 31, 33, 38. Concise Toolkit pp. 11-18
After-class AI question: Explain Payoff Table and Decision Tree Valuation. Use a different example, then ask me one check question.</v>
      </c>
    </row>
    <row r="8">
      <c r="A8" s="533" t="n"/>
      <c r="B8" s="533" t="n"/>
      <c r="C8" s="533" t="n"/>
      <c r="D8" s="533" t="n"/>
      <c r="E8" s="533" t="n"/>
      <c r="F8" s="533" t="n"/>
      <c r="G8" s="533" t="n"/>
      <c r="H8" s="533" t="n"/>
      <c r="I8" s="515"/>
    </row>
    <row r="9" ht="24" customHeight="1">
      <c r="A9" s="534" t="inlineStr">
        <is>
          <t>Alternative</t>
        </is>
      </c>
      <c r="B9" s="534" t="inlineStr">
        <is>
          <t>High demand</t>
        </is>
      </c>
      <c r="C9" s="534" t="inlineStr">
        <is>
          <t>Medium demand</t>
        </is>
      </c>
      <c r="D9" s="534" t="inlineStr">
        <is>
          <t>Low demand</t>
        </is>
      </c>
      <c r="E9" s="533" t="n"/>
      <c r="F9" s="533" t="n"/>
      <c r="G9" s="533" t="n"/>
      <c r="H9" s="533" t="n"/>
      <c r="I9" s="515"/>
    </row>
    <row r="10" ht="90.0" customHeight="1">
      <c r="A10" s="534" t="inlineStr">
        <is>
          <t xml:space="preserve">2 · Large Hub</t>
        </is>
      </c>
      <c r="B10" s="567" t="n"/>
      <c r="C10" s="567" t="n"/>
      <c r="D10" s="567" t="n"/>
      <c r="E10" s="533" t="n"/>
      <c r="F10" s="533" t="n"/>
      <c r="G10" s="533" t="n"/>
      <c r="H10" s="533" t="n"/>
      <c r="I10" s="530" t="str">
        <v>B10:D10: Section study support: Slides 27, 31, 33, 38. Concise Toolkit pp. 11-18
After-class AI question: Explain Payoff Table and Decision Tree Valuation. Use a different example, then ask me one check question.</v>
      </c>
    </row>
    <row r="11" ht="90.0" customHeight="1">
      <c r="A11" s="534" t="inlineStr">
        <is>
          <t xml:space="preserve">3 · Modular Hub</t>
        </is>
      </c>
      <c r="B11" s="567" t="n"/>
      <c r="C11" s="567" t="n"/>
      <c r="D11" s="567" t="n"/>
      <c r="E11" s="533" t="n"/>
      <c r="F11" s="533" t="n"/>
      <c r="G11" s="533" t="n"/>
      <c r="H11" s="533" t="n"/>
      <c r="I11" s="530" t="str">
        <v>B11:D11: Section study support: Slides 27, 31, 33, 38. Concise Toolkit pp. 11-18
After-class AI question: Explain Payoff Table and Decision Tree Valuation. Use a different example, then ask me one check question.</v>
      </c>
    </row>
    <row r="12">
      <c r="A12" s="533" t="n"/>
      <c r="B12" s="533" t="n"/>
      <c r="C12" s="533" t="n"/>
      <c r="D12" s="533" t="n"/>
      <c r="E12" s="533" t="n"/>
      <c r="F12" s="533" t="n"/>
      <c r="G12" s="533" t="n"/>
      <c r="H12" s="533" t="n"/>
      <c r="I12" s="515"/>
    </row>
    <row r="13">
      <c r="A13" s="533" t="n"/>
      <c r="B13" s="533" t="n"/>
      <c r="C13" s="533" t="n"/>
      <c r="D13" s="533" t="n"/>
      <c r="E13" s="533" t="n"/>
      <c r="F13" s="533" t="n"/>
      <c r="G13" s="533" t="n"/>
      <c r="H13" s="533" t="n"/>
      <c r="I13" s="515"/>
    </row>
    <row r="14" ht="90.0" customHeight="1">
      <c r="A14" s="534" t="inlineStr">
        <is>
          <t xml:space="preserve">4 · Large Hub EMV</t>
        </is>
      </c>
      <c r="B14" s="533" t="n"/>
      <c r="C14" s="533" t="n"/>
      <c r="D14" s="567" t="n"/>
      <c r="E14" s="536">
        <f>IFERROR(IF(OR(ISBLANK(D14)),"Not started",IF(AND(ABS(D14-(3.3))&lt;=0.0066),"Result matches","Check the result")),"Formula error")</f>
        <v/>
      </c>
      <c r="F14" s="537" t="n"/>
      <c r="G14" s="538" t="inlineStr">
        <is>
          <t xml:space="preserve">Large Hub EMV. Practice check: 3.30; use the cell's stated units. Do not misalign a probability with the wrong demand-state payoff.</t>
        </is>
      </c>
      <c r="H14" s="537" t="n"/>
      <c r="I14" s="530" t="str">
        <v>D14: Slides 28-30. Concise Toolkit pp. 11-18
After-class AI question: Explain Expected Monetary Value. Use a different example, then ask me one check question.</v>
      </c>
    </row>
    <row r="15" ht="90.0" customHeight="1">
      <c r="A15" s="534" t="inlineStr">
        <is>
          <t>Modular Hub EMV</t>
        </is>
      </c>
      <c r="B15" s="533" t="n"/>
      <c r="C15" s="533" t="n"/>
      <c r="D15" s="567" t="n"/>
      <c r="E15" s="536">
        <f>IFERROR(IF(OR(ISBLANK(D15)),"Not started",IF(AND(ABS(D15-(5.4))&lt;=0.0108),"Result matches","Check the result")),"Formula error")</f>
        <v/>
      </c>
      <c r="F15" s="537" t="n"/>
      <c r="G15" s="538" t="inlineStr">
        <is>
          <t>Modular Hub EMV. Practice check: 5.4; use the cell's stated units. Do not describe EMV as the payoff that will occur in every state.</t>
        </is>
      </c>
      <c r="H15" s="537" t="n"/>
      <c r="I15" s="530" t="str">
        <v>D15: Slides 28-30. Concise Toolkit pp. 11-18
After-class AI question: Explain Expected Monetary Value. Use a different example, then ask me one check question.</v>
      </c>
    </row>
    <row r="16" ht="90.0" customHeight="1">
      <c r="A16" s="534" t="inlineStr">
        <is>
          <t xml:space="preserve">5 · Rolled-back node value</t>
        </is>
      </c>
      <c r="B16" s="533" t="n"/>
      <c r="C16" s="533" t="n"/>
      <c r="D16" s="567" t="n"/>
      <c r="E16" s="536">
        <f>IFERROR(IF(OR(ISBLANK(D16)),"Not started",IF(AND(ABS(D16-(5.4))&lt;=0.0108),"Result matches","Check the result")),"Formula error")</f>
        <v/>
      </c>
      <c r="F16" s="537" t="n"/>
      <c r="G16" s="538" t="inlineStr">
        <is>
          <t xml:space="preserve">Rolled-back node value. Practice check: 5.40; use the cell's stated units. Do not use the largest single-state payoff instead of the branch EMVs.</t>
        </is>
      </c>
      <c r="H16" s="537" t="n"/>
      <c r="I16" s="530" t="str">
        <v>D16: Slides 38. Concise Toolkit pp. 11-18
After-class AI question: Explain Decision Tree Rollback. Use a different example, then ask me one check question.</v>
      </c>
    </row>
    <row r="17" ht="90.0" customHeight="1">
      <c r="A17" s="534" t="inlineStr">
        <is>
          <t xml:space="preserve">6 · EMV premium</t>
        </is>
      </c>
      <c r="B17" s="533" t="n"/>
      <c r="C17" s="533" t="n"/>
      <c r="D17" s="567" t="n"/>
      <c r="E17" s="536">
        <f>IFERROR(IF(OR(ISBLANK(D17)),"Not started",IF(AND(ABS(D17-(2.1))&lt;=0.0042),"Result matches","Check the result")),"Formula error")</f>
        <v/>
      </c>
      <c r="F17" s="537" t="n"/>
      <c r="G17" s="538" t="inlineStr">
        <is>
          <t xml:space="preserve">EMV premium. Practice check: 2.10; use the cell's stated units. Do not present the premium as certain realized profit.</t>
        </is>
      </c>
      <c r="H17" s="537" t="n"/>
      <c r="I17" s="530" t="str">
        <v>D17: Slides 38. Concise Toolkit pp. 11-18
After-class AI question: Explain Decision Tree Rollback. Use a different example, then ask me one check question.</v>
      </c>
    </row>
    <row r="18" ht="90.0" customHeight="1">
      <c r="A18" s="534" t="inlineStr">
        <is>
          <t>Interpretation</t>
        </is>
      </c>
      <c r="B18" s="555" t="n"/>
      <c r="C18" s="556" t="n"/>
      <c r="D18" s="556" t="n"/>
      <c r="E18" s="556" t="n"/>
      <c r="F18" s="556" t="n"/>
      <c r="G18" s="556" t="n"/>
      <c r="H18" s="557" t="n"/>
      <c r="I18" s="530" t="str">
        <v>B18: Slides 27. Concise Toolkit pp. 11-18
After-class AI question: Explain Payoff Table and Decision Tree Valuation. Use a different example, then ask me one check question.</v>
      </c>
    </row>
    <row r="19" ht="30" customHeight="1">
      <c r="A19" s="534" t="inlineStr">
        <is>
          <t>Reason</t>
        </is>
      </c>
      <c r="B19" s="558" t="inlineStr">
        <is>
          <t>[Replace with 2-3 sentences: state the EMV criterion, selected branch, premium, and one risk-tolerance condition that could change the choice.]</t>
        </is>
      </c>
      <c r="C19" s="559" t="n"/>
      <c r="D19" s="559" t="n"/>
      <c r="E19" s="559" t="n"/>
      <c r="F19" s="559" t="n"/>
      <c r="G19" s="559" t="n"/>
      <c r="H19" s="560" t="n"/>
      <c r="I19" s="530" t="str">
        <v>B19: Slides 27. Concise Toolkit pp. 11-18
After-class AI question: Explain Payoff Table and Decision Tree Valuation. Use a different example, then ask me one check question.</v>
      </c>
    </row>
    <row r="20" ht="30" customHeight="1">
      <c r="A20" s="533" t="n"/>
      <c r="B20" s="561" t="n"/>
      <c r="C20" s="548" t="n"/>
      <c r="D20" s="548" t="n"/>
      <c r="E20" s="548" t="n"/>
      <c r="F20" s="548" t="n"/>
      <c r="G20" s="548" t="n"/>
      <c r="H20" s="562" t="n"/>
      <c r="I20" s="530"/>
    </row>
    <row r="21" ht="30" customHeight="1">
      <c r="A21" s="533" t="n"/>
      <c r="B21" s="563" t="n"/>
      <c r="C21" s="564" t="n"/>
      <c r="D21" s="564" t="n"/>
      <c r="E21" s="564" t="n"/>
      <c r="F21" s="564" t="n"/>
      <c r="G21" s="564" t="n"/>
      <c r="H21" s="565" t="n"/>
      <c r="I21" s="530"/>
    </row>
    <row r="22">
      <c r="A22" s="533" t="n"/>
      <c r="B22" s="533" t="n"/>
      <c r="C22" s="533" t="n"/>
      <c r="D22" s="533" t="n"/>
      <c r="E22" s="533" t="n"/>
      <c r="F22" s="533" t="n"/>
      <c r="G22" s="533" t="n"/>
      <c r="H22" s="533" t="n"/>
      <c r="I22" s="515"/>
    </row>
    <row r="23" ht="42.0" customHeight="1">
      <c r="A23" s="534" t="inlineStr">
        <is>
          <t>H2 evidence caption</t>
        </is>
      </c>
      <c r="B23" s="558" t="inlineStr">
        <is>
          <t>[Replace with 1-2 sentences: name H2 Capacity EMV Audit, identify the values read, and state the Excel agreement check.]</t>
        </is>
      </c>
      <c r="C23" s="559" t="n"/>
      <c r="D23" s="559" t="n"/>
      <c r="E23" s="559" t="n"/>
      <c r="F23" s="559" t="n"/>
      <c r="G23" s="559" t="n"/>
      <c r="H23" s="560" t="n"/>
      <c r="I23" s="530" t="str">
        <v>B23: Slides 27. Concise Toolkit pp. 11-18
After-class AI question: Explain Payoff Table and Decision Tree Valuation. Use a different example, then ask me one check question.</v>
      </c>
    </row>
    <row r="24" ht="42.0" customHeight="1">
      <c r="A24" s="533" t="n"/>
      <c r="B24" s="563" t="n"/>
      <c r="C24" s="564" t="n"/>
      <c r="D24" s="564" t="n"/>
      <c r="E24" s="564" t="n"/>
      <c r="F24" s="564" t="n"/>
      <c r="G24" s="564" t="n"/>
      <c r="H24" s="565" t="n"/>
      <c r="I24" s="530"/>
    </row>
    <row r="25">
      <c r="A25" s="533" t="n"/>
      <c r="B25" s="533" t="n"/>
      <c r="C25" s="533" t="n"/>
      <c r="D25" s="533" t="n"/>
      <c r="E25" s="533" t="n"/>
      <c r="F25" s="533" t="n"/>
      <c r="G25" s="533" t="n"/>
      <c r="H25" s="533" t="n"/>
      <c r="I25" s="515"/>
    </row>
    <row r="26">
      <c r="A26" s="533" t="n"/>
      <c r="B26" s="533" t="n"/>
      <c r="C26" s="533" t="n"/>
      <c r="D26" s="533" t="n"/>
      <c r="E26" s="533" t="n"/>
      <c r="F26" s="533" t="n"/>
      <c r="G26" s="533" t="n"/>
      <c r="H26" s="533" t="n"/>
      <c r="I26" s="515"/>
    </row>
    <row r="27">
      <c r="A27" s="533" t="inlineStr">
        <is>
          <t>Check your work</t>
        </is>
      </c>
      <c r="B27" s="533" t="inlineStr">
        <is>
          <t>Status</t>
        </is>
      </c>
      <c r="C27" s="533" t="n"/>
      <c r="D27" s="533" t="n"/>
      <c r="E27" s="533" t="n"/>
      <c r="F27" s="533" t="n"/>
      <c r="G27" s="533" t="n"/>
      <c r="H27" s="533" t="n"/>
      <c r="I27" s="515"/>
    </row>
    <row r="28">
      <c r="A28" s="533" t="inlineStr">
        <is>
          <t>Large emv</t>
        </is>
      </c>
      <c r="B28" s="533">
        <f>IFERROR(IF('IN-CLASS_Lab Part B'!D14="","Not started",IF(ABS('IN-CLASS_Lab Part B'!D14-(3.3))&lt;=0.0066,"✓ Checked","Recheck method")),"Recheck formula")</f>
        <v/>
      </c>
      <c r="C28" s="533" t="n"/>
      <c r="D28" s="533" t="n"/>
      <c r="E28" s="533" t="n"/>
      <c r="F28" s="533" t="n"/>
      <c r="G28" s="533" t="n"/>
      <c r="H28" s="533" t="n"/>
      <c r="I28" s="515"/>
    </row>
    <row r="29">
      <c r="A29" s="533" t="inlineStr">
        <is>
          <t>Modular emv</t>
        </is>
      </c>
      <c r="B29" s="533">
        <f>IFERROR(IF('IN-CLASS_Lab Part B'!D15="","Not started",IF(ABS('IN-CLASS_Lab Part B'!D15-(5.4))&lt;=0.0108,"✓ Checked","Recheck method")),"Recheck formula")</f>
        <v/>
      </c>
      <c r="C29" s="533" t="n"/>
      <c r="D29" s="533" t="n"/>
      <c r="E29" s="533" t="n"/>
      <c r="F29" s="533" t="n"/>
      <c r="G29" s="533" t="n"/>
      <c r="H29" s="533" t="n"/>
      <c r="I29" s="515"/>
    </row>
    <row r="30">
      <c r="A30" s="533" t="inlineStr">
        <is>
          <t>Rollback value</t>
        </is>
      </c>
      <c r="B30" s="533">
        <f>IFERROR(IF('IN-CLASS_Lab Part B'!D16="","Not started",IF(ABS('IN-CLASS_Lab Part B'!D16-(5.4))&lt;=0.0108,"✓ Checked","Recheck method")),"Recheck formula")</f>
        <v/>
      </c>
      <c r="C30" s="533" t="n"/>
      <c r="D30" s="533" t="n"/>
      <c r="E30" s="533" t="n"/>
      <c r="F30" s="533" t="n"/>
      <c r="G30" s="533" t="n"/>
      <c r="H30" s="533" t="n"/>
      <c r="I30" s="515"/>
    </row>
    <row r="31">
      <c r="A31" s="533" t="inlineStr">
        <is>
          <t>Emv premium</t>
        </is>
      </c>
      <c r="B31" s="533">
        <f>IFERROR(IF('IN-CLASS_Lab Part B'!D17="","Not started",IF(ABS('IN-CLASS_Lab Part B'!D17-(2.1))&lt;=0.0042,"✓ Checked","Recheck method")),"Recheck formula")</f>
        <v/>
      </c>
      <c r="C31" s="533" t="n"/>
      <c r="D31" s="533" t="n"/>
      <c r="E31" s="533" t="n"/>
      <c r="F31" s="533" t="n"/>
      <c r="G31" s="533" t="n"/>
      <c r="H31" s="533" t="n"/>
      <c r="I31" s="515"/>
    </row>
    <row r="32">
      <c r="A32" s="533" t="n"/>
      <c r="B32" s="533" t="n"/>
      <c r="C32" s="533" t="n"/>
      <c r="D32" s="533" t="n"/>
      <c r="E32" s="533" t="n"/>
      <c r="F32" s="533" t="n"/>
      <c r="G32" s="533" t="n"/>
      <c r="H32" s="533" t="n"/>
      <c r="I32" s="515"/>
    </row>
    <row r="33" ht="30" customHeight="1">
      <c r="A33" s="533" t="inlineStr">
        <is>
          <t>Formatting is already set. Enter your formula, then press Enter. To restore: select cell &gt; Format Cells &gt; Number or Custom.</t>
        </is>
      </c>
      <c r="B33" s="533" t="n"/>
      <c r="C33" s="533" t="n"/>
      <c r="D33" s="533" t="n"/>
      <c r="E33" s="533" t="n"/>
      <c r="F33" s="533" t="n"/>
      <c r="G33" s="533" t="n"/>
      <c r="H33" s="533" t="n"/>
      <c r="I33" s="515"/>
    </row>
    <row r="34" ht="32" customHeight="1">
      <c r="A34" s="533" t="inlineStr">
        <is>
          <t>B7</t>
        </is>
      </c>
      <c r="B34" s="533" t="inlineStr">
        <is>
          <t>Percentage, 1 decimal; unrelated example only: a stored fraction of 0.125 displays as 12.5%; enter a fraction, not a value multiplied by 100. | Format code: 0.0%</t>
        </is>
      </c>
      <c r="C34" s="533" t="n"/>
      <c r="D34" s="533" t="n"/>
      <c r="E34" s="533" t="n"/>
      <c r="F34" s="533" t="n"/>
      <c r="G34" s="533" t="n"/>
      <c r="H34" s="533" t="n"/>
      <c r="I34" s="515"/>
    </row>
    <row r="35" ht="32" customHeight="1">
      <c r="A35" s="533" t="inlineStr">
        <is>
          <t>C7</t>
        </is>
      </c>
      <c r="B35" s="533" t="inlineStr">
        <is>
          <t>Percentage, 1 decimal; unrelated example only: a stored fraction of 0.125 displays as 12.5%; enter a fraction, not a value multiplied by 100. | Format code: 0.0%</t>
        </is>
      </c>
      <c r="C35" s="533" t="n"/>
      <c r="D35" s="533" t="n"/>
      <c r="E35" s="533" t="n"/>
      <c r="F35" s="533" t="n"/>
      <c r="G35" s="533" t="n"/>
      <c r="H35" s="533" t="n"/>
      <c r="I35" s="515"/>
    </row>
    <row r="36" ht="32" customHeight="1">
      <c r="A36" s="533" t="inlineStr">
        <is>
          <t>D7</t>
        </is>
      </c>
      <c r="B36" s="533" t="inlineStr">
        <is>
          <t>Percentage, 1 decimal; unrelated example only: a stored fraction of 0.125 displays as 12.5%; enter a fraction, not a value multiplied by 100. | Format code: 0.0%</t>
        </is>
      </c>
      <c r="C36" s="533" t="n"/>
      <c r="D36" s="533" t="n"/>
      <c r="E36" s="533" t="n"/>
      <c r="F36" s="533" t="n"/>
      <c r="G36" s="533" t="n"/>
      <c r="H36" s="533" t="n"/>
      <c r="I36" s="515"/>
    </row>
    <row r="37" ht="32" customHeight="1">
      <c r="A37" s="533" t="inlineStr">
        <is>
          <t>B10</t>
        </is>
      </c>
      <c r="B37" s="533" t="inlineStr">
        <is>
          <t>Number, 2 decimals, million dollars; unrelated example only: a stored value of 2.346 displays as 2.35 million dollars. | Format code: 0.00</t>
        </is>
      </c>
      <c r="C37" s="533" t="n"/>
      <c r="D37" s="533" t="n"/>
      <c r="E37" s="533" t="n"/>
      <c r="F37" s="533" t="n"/>
      <c r="G37" s="533" t="n"/>
      <c r="H37" s="533" t="n"/>
      <c r="I37" s="515"/>
    </row>
    <row r="38" ht="32" customHeight="1">
      <c r="A38" s="533" t="inlineStr">
        <is>
          <t>C10</t>
        </is>
      </c>
      <c r="B38" s="533" t="inlineStr">
        <is>
          <t>Number, 2 decimals, million dollars; unrelated example only: a stored value of 2.346 displays as 2.35 million dollars. | Format code: 0.00</t>
        </is>
      </c>
      <c r="C38" s="533" t="n"/>
      <c r="D38" s="533" t="n"/>
      <c r="E38" s="533" t="n"/>
      <c r="F38" s="533" t="n"/>
      <c r="G38" s="533" t="n"/>
      <c r="H38" s="533" t="n"/>
      <c r="I38" s="515"/>
    </row>
    <row r="39" ht="32" customHeight="1">
      <c r="A39" s="533" t="inlineStr">
        <is>
          <t>D10</t>
        </is>
      </c>
      <c r="B39" s="533" t="inlineStr">
        <is>
          <t>Number, 2 decimals, million dollars; unrelated example only: a stored value of 2.346 displays as 2.35 million dollars. | Format code: 0.00</t>
        </is>
      </c>
      <c r="C39" s="533" t="n"/>
      <c r="D39" s="533" t="n"/>
      <c r="E39" s="533" t="n"/>
      <c r="F39" s="533" t="n"/>
      <c r="G39" s="533" t="n"/>
      <c r="H39" s="533" t="n"/>
      <c r="I39" s="515"/>
    </row>
    <row r="40" ht="32" customHeight="1">
      <c r="A40" s="533" t="inlineStr">
        <is>
          <t>B11</t>
        </is>
      </c>
      <c r="B40" s="533" t="inlineStr">
        <is>
          <t>Number, 2 decimals, million dollars; unrelated example only: a stored value of 2.346 displays as 2.35 million dollars. | Format code: 0.00</t>
        </is>
      </c>
      <c r="C40" s="533" t="n"/>
      <c r="D40" s="533" t="n"/>
      <c r="E40" s="533" t="n"/>
      <c r="F40" s="533" t="n"/>
      <c r="G40" s="533" t="n"/>
      <c r="H40" s="533" t="n"/>
      <c r="I40" s="515"/>
    </row>
    <row r="41" ht="32" customHeight="1">
      <c r="A41" s="533" t="inlineStr">
        <is>
          <t>C11</t>
        </is>
      </c>
      <c r="B41" s="533" t="inlineStr">
        <is>
          <t>Number, 2 decimals, million dollars; unrelated example only: a stored value of 2.346 displays as 2.35 million dollars. | Format code: 0.00</t>
        </is>
      </c>
      <c r="C41" s="533" t="n"/>
      <c r="D41" s="533" t="n"/>
      <c r="E41" s="533" t="n"/>
      <c r="F41" s="533" t="n"/>
      <c r="G41" s="533" t="n"/>
      <c r="H41" s="533" t="n"/>
    </row>
    <row r="42" ht="32" customHeight="1">
      <c r="A42" s="533" t="inlineStr">
        <is>
          <t>D11</t>
        </is>
      </c>
      <c r="B42" s="533" t="inlineStr">
        <is>
          <t>Number, 2 decimals, million dollars; unrelated example only: a stored value of 2.346 displays as 2.35 million dollars. | Format code: 0.00</t>
        </is>
      </c>
      <c r="C42" s="533" t="n"/>
      <c r="D42" s="533" t="n"/>
      <c r="E42" s="533" t="n"/>
      <c r="F42" s="533" t="n"/>
      <c r="G42" s="533" t="n"/>
      <c r="H42" s="533" t="n"/>
    </row>
    <row r="43" ht="32" customHeight="1">
      <c r="A43" s="533" t="inlineStr">
        <is>
          <t>D14</t>
        </is>
      </c>
      <c r="B43" s="533" t="inlineStr">
        <is>
          <t>Number, 2 decimals, million dollars; unrelated example only: a stored value of 2.346 displays as 2.35 million dollars. | Format code: 0.00</t>
        </is>
      </c>
      <c r="C43" s="533" t="n"/>
      <c r="D43" s="533" t="n"/>
      <c r="E43" s="533" t="n"/>
      <c r="F43" s="533" t="n"/>
      <c r="G43" s="533" t="n"/>
      <c r="H43" s="533" t="n"/>
    </row>
    <row r="44" ht="32" customHeight="1">
      <c r="A44" s="533" t="inlineStr">
        <is>
          <t>D15</t>
        </is>
      </c>
      <c r="B44" s="533" t="inlineStr">
        <is>
          <t>Number, 2 decimals, million dollars; unrelated example only: a stored value of 2.346 displays as 2.35 million dollars. | Format code: 0.00</t>
        </is>
      </c>
      <c r="C44" s="533" t="n"/>
      <c r="D44" s="533" t="n"/>
      <c r="E44" s="533" t="n"/>
      <c r="F44" s="533" t="n"/>
      <c r="G44" s="533" t="n"/>
      <c r="H44" s="533" t="n"/>
    </row>
    <row r="45" ht="32" customHeight="1">
      <c r="A45" s="533" t="inlineStr">
        <is>
          <t>D16</t>
        </is>
      </c>
      <c r="B45" s="533" t="inlineStr">
        <is>
          <t>Number, 2 decimals, million dollars; unrelated example only: a stored value of 2.346 displays as 2.35 million dollars. | Format code: 0.00</t>
        </is>
      </c>
      <c r="C45" s="533" t="n"/>
      <c r="D45" s="533" t="n"/>
      <c r="E45" s="533" t="n"/>
      <c r="F45" s="533" t="n"/>
      <c r="G45" s="533" t="n"/>
      <c r="H45" s="533" t="n"/>
    </row>
    <row r="46" ht="32" customHeight="1">
      <c r="A46" s="533" t="inlineStr">
        <is>
          <t>D17</t>
        </is>
      </c>
      <c r="B46" s="533" t="inlineStr">
        <is>
          <t>Number, 2 decimals, million dollars; unrelated example only: a stored value of 2.346 displays as 2.35 million dollars. | Format code: 0.00</t>
        </is>
      </c>
      <c r="C46" s="533" t="n"/>
      <c r="D46" s="533" t="n"/>
      <c r="E46" s="533" t="n"/>
      <c r="F46" s="533" t="n"/>
      <c r="G46" s="533" t="n"/>
      <c r="H46" s="533" t="n"/>
    </row>
    <row r="48" ht="36" customHeight="1">
      <c r="A48" t="inlineStr" s="584">
        <is>
          <t xml:space="preserve">⚠ Most common mistake: Picking the Large Hub because it has the biggest single payoff ($12M). The EMV rule weighs every state by its probability, and the Large Hub's -$9M low-demand state pulls its EMV down.</t>
        </is>
      </c>
    </row>
  </sheetData>
  <mergeCells count="34">
    <mergeCell ref="B40:H40"/>
    <mergeCell ref="E14:F14"/>
    <mergeCell ref="A1:H1"/>
    <mergeCell ref="E17:F17"/>
    <mergeCell ref="B37:H37"/>
    <mergeCell ref="G17:H17"/>
    <mergeCell ref="B45:H45"/>
    <mergeCell ref="B36:H36"/>
    <mergeCell ref="B23:H24"/>
    <mergeCell ref="B41:H41"/>
    <mergeCell ref="B35:H35"/>
    <mergeCell ref="B46:H46"/>
    <mergeCell ref="A3:H3"/>
    <mergeCell ref="B18:H18"/>
    <mergeCell ref="E15:F15"/>
    <mergeCell ref="G15:H15"/>
    <mergeCell ref="A2:H2"/>
    <mergeCell ref="B43:H43"/>
    <mergeCell ref="B39:H39"/>
    <mergeCell ref="A33:H33"/>
    <mergeCell ref="G14:H14"/>
    <mergeCell ref="B42:H42"/>
    <mergeCell ref="A5:H5"/>
    <mergeCell ref="A4:H4"/>
    <mergeCell ref="E16:F16"/>
    <mergeCell ref="G16:H16"/>
    <mergeCell ref="B44:H44"/>
    <mergeCell ref="B38:H38"/>
    <mergeCell ref="B34:H34"/>
    <mergeCell ref="B19:H21"/>
    <mergeCell ref="I5:I6"/>
    <mergeCell ref="I19:I21"/>
    <mergeCell ref="I23:I24"/>
    <mergeCell ref="A48:H48"/>
  </mergeCells>
  <dataValidations count="1">
    <dataValidation sqref="B18" showDropDown="0" showInputMessage="1" showErrorMessage="1" allowBlank="1" errorTitle="Choose one option" error="Use the dropdown, then explain your reason in the adjacent response area." promptTitle="Choose, then explain" prompt="Pick the best statement for your evidence. Nothing is preselected." type="list">
      <formula1>=LabChoices_2</formula1>
    </dataValidation>
  </dataValidations>
  <printOptions horizontalCentered="1"/>
  <pageMargins left="0.75" right="0.75" top="1" bottom="1" header="0.5" footer="0.5"/>
  <pageSetup orientation="landscape" paperSize="8" fitToHeight="0" fitToWidth="1"/>
  <legacyDrawing xmlns:r="http://schemas.openxmlformats.org/officeDocument/2006/relationships" r:id="anysvml"/>
</worksheet>
</file>

<file path=xl/worksheets/sheet4.xml><?xml version="1.0" encoding="utf-8"?>
<worksheet xmlns="http://schemas.openxmlformats.org/spreadsheetml/2006/main">
  <sheetPr>
    <tabColor rgb="0057068C"/>
    <outlinePr summaryBelow="1" summaryRight="1"/>
    <pageSetUpPr fitToPage="1"/>
  </sheetPr>
  <dimension ref="A1:H1066"/>
  <sheetViews>
    <sheetView showGridLines="0" zoomScale="90" workbookViewId="0">
      <pane ySplit="6" topLeftCell="A7"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min="9" max="9" width="58" customWidth="1"/>
  </cols>
  <sheetData>
    <row r="1" ht="30" customHeight="1">
      <c r="A1" s="577" t="inlineStr">
        <is>
          <t xml:space="preserve">Part C · Is profit at average demand too optimistic?    ⏱ 15 min · from slide 65 → back to slide 66</t>
        </is>
      </c>
      <c r="B1" s="533" t="n"/>
      <c r="C1" s="533" t="n"/>
      <c r="D1" s="533" t="n"/>
      <c r="E1" s="533" t="n"/>
      <c r="F1" s="533" t="n"/>
      <c r="G1" s="533" t="n"/>
      <c r="H1" s="533" t="n"/>
      <c r="I1" s="515"/>
    </row>
    <row r="2" ht="34" customHeight="1">
      <c r="A2" s="578" t="inlineStr">
        <is>
          <t xml:space="preserve">What you're using · Section 3: The flaw of averages: plugging average demand into a nonlinear model does not give average profit.   Reread: Slides 44–65; Concise Toolkit pp. 19–25; Full Toolkit pp. 42–63</t>
        </is>
      </c>
      <c r="B2" s="533" t="n"/>
      <c r="C2" s="533" t="n"/>
      <c r="D2" s="533" t="n"/>
      <c r="E2" s="533" t="n"/>
      <c r="F2" s="533" t="n"/>
      <c r="G2" s="533" t="n"/>
      <c r="H2" s="533" t="n"/>
      <c r="I2" s="515"/>
    </row>
    <row r="3" ht="30" customHeight="1">
      <c r="A3" s="579" t="inlineStr">
        <is>
          <t xml:space="preserve">Dₖ = μ + σ Φ⁻¹(uₖ) (μ = 1000, σ = 250)      where D = demand · Q = capacity (1,000) · p = price ($100) · s = salvage ($15) · c = cost ($40) · uₖ = fixed probability for trial k</t>
        </is>
      </c>
      <c r="B3" s="533" t="n"/>
      <c r="C3" s="533" t="n"/>
      <c r="D3" s="533" t="n"/>
      <c r="E3" s="533" t="n"/>
      <c r="F3" s="533" t="n"/>
      <c r="G3" s="533" t="n"/>
      <c r="H3" s="533" t="n"/>
      <c r="I3" s="515"/>
    </row>
    <row r="4" ht="22" customHeight="1">
      <c r="A4" s="580" t="str">
        <f>"Progress: "&amp;COUNTIF(B1042:B1049,"✓ Checked")&amp;" of 8 checked. Save after each ✓."</f>
      </c>
      <c r="B4" s="533" t="n"/>
      <c r="C4" s="533" t="n"/>
      <c r="D4" s="533" t="n"/>
      <c r="E4" s="533" t="n"/>
      <c r="F4" s="533" t="n"/>
      <c r="G4" s="533" t="n"/>
      <c r="H4" s="533" t="n"/>
      <c r="I4" s="515"/>
    </row>
    <row r="5" ht="30" customHeight="1">
      <c r="A5" s="581" t="inlineStr">
        <is>
          <t xml:space="preserve">Open IN-CLASS_Lab Part C!A7.  Save workbook as LAB02_FirstName_LastName_NetID.xlsx.</t>
        </is>
      </c>
      <c r="B5" s="533" t="n"/>
      <c r="C5" s="533" t="n"/>
      <c r="D5" s="533" t="n"/>
      <c r="E5" s="533" t="n"/>
      <c r="F5" s="533" t="n"/>
      <c r="G5" s="533" t="n"/>
      <c r="H5" s="533" t="n"/>
      <c r="I5" s="516" t="str">
        <v>Study help (optional)
Read the pages, then use the AI question if useful.</v>
      </c>
    </row>
    <row r="6">
      <c r="A6" s="533" t="n"/>
      <c r="B6" s="533" t="n"/>
      <c r="C6" s="533" t="n"/>
      <c r="D6" s="533" t="n"/>
      <c r="E6" s="533" t="n"/>
      <c r="F6" s="533" t="n"/>
      <c r="G6" s="533" t="n"/>
      <c r="H6" s="533" t="n"/>
      <c r="I6" s="516"/>
    </row>
    <row r="7" ht="24" customHeight="1">
      <c r="A7" s="534" t="inlineStr">
        <is>
          <t>Mean demand</t>
        </is>
      </c>
      <c r="B7" s="568" t="n">
        <v>1000</v>
      </c>
      <c r="C7" s="533" t="n"/>
      <c r="D7" s="533" t="n"/>
      <c r="E7" s="533" t="n"/>
      <c r="F7" s="533" t="n"/>
      <c r="G7" s="533" t="n"/>
      <c r="H7" s="533" t="n"/>
      <c r="I7" s="515"/>
    </row>
    <row r="8" ht="30" customHeight="1">
      <c r="A8" s="534" t="inlineStr">
        <is>
          <t>Demand standard deviation</t>
        </is>
      </c>
      <c r="B8" s="568" t="n">
        <v>250</v>
      </c>
      <c r="C8" s="533" t="n"/>
      <c r="D8" s="533" t="n"/>
      <c r="E8" s="533" t="n"/>
      <c r="F8" s="533" t="n"/>
      <c r="G8" s="533" t="n"/>
      <c r="H8" s="533" t="n"/>
      <c r="I8" s="515"/>
    </row>
    <row r="9" ht="24" customHeight="1">
      <c r="A9" s="534" t="inlineStr">
        <is>
          <t>Capacity</t>
        </is>
      </c>
      <c r="B9" s="568" t="n">
        <v>1000</v>
      </c>
      <c r="C9" s="533" t="n"/>
      <c r="D9" s="533" t="n"/>
      <c r="E9" s="533" t="n"/>
      <c r="F9" s="533" t="n"/>
      <c r="G9" s="533" t="n"/>
      <c r="H9" s="533" t="n"/>
      <c r="I9" s="515"/>
    </row>
    <row r="10" ht="24" customHeight="1">
      <c r="A10" s="534" t="inlineStr">
        <is>
          <t>Selling price</t>
        </is>
      </c>
      <c r="B10" s="569" t="n">
        <v>100</v>
      </c>
      <c r="C10" s="533" t="n"/>
      <c r="D10" s="533" t="n"/>
      <c r="E10" s="533" t="n"/>
      <c r="F10" s="533" t="n"/>
      <c r="G10" s="533" t="n"/>
      <c r="H10" s="533" t="n"/>
      <c r="I10" s="515"/>
    </row>
    <row r="11" ht="24" customHeight="1">
      <c r="A11" s="534" t="inlineStr">
        <is>
          <t>Salvage value</t>
        </is>
      </c>
      <c r="B11" s="569" t="n">
        <v>15</v>
      </c>
      <c r="C11" s="533" t="n"/>
      <c r="D11" s="533" t="n"/>
      <c r="E11" s="533" t="n"/>
      <c r="F11" s="533" t="n"/>
      <c r="G11" s="533" t="n"/>
      <c r="H11" s="533" t="n"/>
      <c r="I11" s="515"/>
    </row>
    <row r="12" ht="24" customHeight="1">
      <c r="A12" s="534" t="inlineStr">
        <is>
          <t>Acquisition cost</t>
        </is>
      </c>
      <c r="B12" s="569" t="n">
        <v>40</v>
      </c>
      <c r="C12" s="533" t="n"/>
      <c r="D12" s="533" t="n"/>
      <c r="E12" s="533" t="n"/>
      <c r="F12" s="533" t="n"/>
      <c r="G12" s="533" t="n"/>
      <c r="H12" s="533" t="n"/>
      <c r="I12" s="515"/>
    </row>
    <row r="13">
      <c r="A13" s="533" t="n"/>
      <c r="B13" s="533" t="n"/>
      <c r="C13" s="533" t="n"/>
      <c r="D13" s="533" t="n"/>
      <c r="E13" s="533" t="n"/>
      <c r="F13" s="533" t="n"/>
      <c r="G13" s="533" t="n"/>
      <c r="H13" s="533" t="n"/>
      <c r="I13" s="515"/>
    </row>
    <row r="14" ht="90.0" customHeight="1">
      <c r="A14" s="534" t="inlineStr">
        <is>
          <t xml:space="preserve">1 · Profit at mean demand</t>
        </is>
      </c>
      <c r="B14" s="572" t="n"/>
      <c r="C14" s="536">
        <f>IFERROR(IF(OR(ISBLANK(B14)),"Not started",IF(AND(ABS(B14-(60000))&lt;=1e-09),"Result matches","Check the result")),"Formula error")</f>
        <v/>
      </c>
      <c r="D14" s="537" t="n"/>
      <c r="E14" s="538" t="inlineStr">
        <is>
          <t xml:space="preserve">Profit at mean demand. Practice check: $60,000; use the cell's stated units. Do not remove the capacity or salvage bounds.</t>
        </is>
      </c>
      <c r="F14" s="537" t="n"/>
      <c r="G14" s="537" t="n"/>
      <c r="H14" s="537" t="n"/>
      <c r="I14" s="530" t="str">
        <v>B14: Slides 46-48. Concise Toolkit pp. 19-25
After-class AI question: Explain The Flaw of Averages. Use a different example, then ask me one check question.</v>
      </c>
    </row>
    <row r="15">
      <c r="A15" s="533" t="n"/>
      <c r="B15" s="533" t="n"/>
      <c r="C15" s="533" t="n"/>
      <c r="D15" s="533" t="n"/>
      <c r="E15" s="533" t="n"/>
      <c r="F15" s="533" t="n"/>
      <c r="G15" s="533" t="n"/>
      <c r="H15" s="533" t="n"/>
      <c r="I15" s="515"/>
    </row>
    <row r="16" ht="90.0" customHeight="1">
      <c r="A16" s="534" t="inlineStr">
        <is>
          <t xml:space="preserve">5 · Mean simulated profit</t>
        </is>
      </c>
      <c r="B16" s="572" t="n"/>
      <c r="C16" s="536">
        <f>IFERROR(IF(OR(ISBLANK(B16)),"Not started",IF(AND(ABS(B16-(51319.7511149516))&lt;=102.639502229903),"Result matches","Check the result")),"Formula error")</f>
        <v/>
      </c>
      <c r="D16" s="537" t="n"/>
      <c r="E16" s="538" t="inlineStr">
        <is>
          <t xml:space="preserve">Mean simulated profit. Practice check: $51,320; use the cell's stated units. Do not average the demand column or optional live-workbook outcomes.</t>
        </is>
      </c>
      <c r="F16" s="537" t="n"/>
      <c r="G16" s="537" t="n"/>
      <c r="H16" s="537" t="n"/>
      <c r="I16" s="530" t="str">
        <v>B16: Section study support: Slides 45, 52, 54, 61. Concise Toolkit pp. 19-25
After-class AI question: Explain Monte Carlo Simulation Engine. Use a different example, then ask me one check question.</v>
      </c>
    </row>
    <row r="17" ht="90.0" customHeight="1">
      <c r="A17" s="534" t="inlineStr">
        <is>
          <t xml:space="preserve">6 · Sample standard deviation</t>
        </is>
      </c>
      <c r="B17" s="572" t="n"/>
      <c r="C17" s="536">
        <f>IFERROR(IF(OR(ISBLANK(B17)),"Not started",IF(AND(ABS(B17-(12701.3953419276))&lt;=25.4027906838553),"Result matches","Check the result")),"Formula error")</f>
        <v/>
      </c>
      <c r="D17" s="537" t="n"/>
      <c r="E17" s="538" t="inlineStr">
        <is>
          <t xml:space="preserve">Sample standard deviation. Practice check: $12,701; use the cell's stated units. Do not use STDEV.P when the requested denominator is n-1.</t>
        </is>
      </c>
      <c r="F17" s="537" t="n"/>
      <c r="G17" s="537" t="n"/>
      <c r="H17" s="537" t="n"/>
      <c r="I17" s="530" t="str">
        <v>B17: Section study support: Slides 45, 52, 54, 61. Concise Toolkit pp. 19-25
After-class AI question: Explain Monte Carlo Simulation Engine. Use a different example, then ask me one check question.</v>
      </c>
    </row>
    <row r="18" ht="90.0" customHeight="1">
      <c r="A18" s="534" t="inlineStr">
        <is>
          <t xml:space="preserve">7 · 5th-percentile profit</t>
        </is>
      </c>
      <c r="B18" s="572" t="n"/>
      <c r="C18" s="536">
        <f>IFERROR(IF(OR(ISBLANK(B18)),"Not started",IF(AND(ABS(B18-(25884.1055019807))&lt;=51.7682110039614),"Result matches","Check the result")),"Formula error")</f>
        <v/>
      </c>
      <c r="D18" s="537" t="n"/>
      <c r="E18" s="538" t="inlineStr">
        <is>
          <t xml:space="preserve">5th-percentile profit. Practice check: $25,884; use the cell's stated units. Do not apply Percentage format or a different percentile convention.</t>
        </is>
      </c>
      <c r="F18" s="537" t="n"/>
      <c r="G18" s="537" t="n"/>
      <c r="H18" s="537" t="n"/>
      <c r="I18" s="530" t="str">
        <v>B18: Section study support: Slides 45, 52, 54, 61. Concise Toolkit pp. 19-25
After-class AI question: Explain Monte Carlo Simulation Engine. Use a different example, then ask me one check question.</v>
      </c>
    </row>
    <row r="19" ht="90.0" customHeight="1">
      <c r="A19" s="534" t="inlineStr">
        <is>
          <t xml:space="preserve">8 · Deterministic-minus-simulated gap</t>
        </is>
      </c>
      <c r="B19" s="572" t="n"/>
      <c r="C19" s="536">
        <f>IFERROR(IF(OR(ISBLANK(B19)),"Not started",IF(AND(ABS(B19-(8680.24888504843))&lt;=17.3604977700969),"Result matches","Check the result")),"Formula error")</f>
        <v/>
      </c>
      <c r="D19" s="537" t="n"/>
      <c r="E19" s="538" t="inlineStr">
        <is>
          <t xml:space="preserve">Deterministic-minus-simulated gap. Practice check: $8,680; use the cell's stated units. Do not assume the gap must be zero because mean demand is unchanged.</t>
        </is>
      </c>
      <c r="F19" s="537" t="n"/>
      <c r="G19" s="537" t="n"/>
      <c r="H19" s="537" t="n"/>
      <c r="I19" s="530" t="str">
        <v>B19: Slides 46-48. Concise Toolkit pp. 19-25
After-class AI question: Explain The Flaw of Averages. Use a different example, then ask me one check question.</v>
      </c>
    </row>
    <row r="20" ht="90.0" customHeight="1">
      <c r="A20" s="534" t="inlineStr">
        <is>
          <t xml:space="preserve">9 · Numeric profit trials</t>
        </is>
      </c>
      <c r="B20" s="553" t="n"/>
      <c r="C20" s="536">
        <f>IFERROR(IF(OR(ISBLANK(B20)),"Not started",IF(AND(ABS(B20-(1000))&lt;=1e-09),"Result matches","Check the result")),"Formula error")</f>
        <v/>
      </c>
      <c r="D20" s="537" t="n"/>
      <c r="E20" s="538" t="inlineStr">
        <is>
          <t>Numeric profit trials. Practice check: 1,000; use the cell's stated units. Do not treat an error, blank, or optional live outcome as a completed reference trial.</t>
        </is>
      </c>
      <c r="F20" s="537" t="n"/>
      <c r="G20" s="537" t="n"/>
      <c r="H20" s="537" t="n"/>
      <c r="I20" s="530" t="str">
        <v>B20: Section study support: Slides 45, 52, 54, 61. Concise Toolkit pp. 19-25
After-class AI question: Explain Monte Carlo Simulation Engine. Use a different example, then ask me one check question.</v>
      </c>
    </row>
    <row r="21">
      <c r="A21" s="533" t="n"/>
      <c r="B21" s="533" t="n"/>
      <c r="C21" s="533" t="n"/>
      <c r="D21" s="533" t="n"/>
      <c r="E21" s="533" t="n"/>
      <c r="F21" s="533" t="n"/>
      <c r="G21" s="533" t="n"/>
      <c r="H21" s="533" t="n"/>
      <c r="I21" s="515"/>
    </row>
    <row r="22" ht="90.0" customHeight="1">
      <c r="A22" s="534" t="inlineStr">
        <is>
          <t>Interpretation</t>
        </is>
      </c>
      <c r="B22" s="555" t="n"/>
      <c r="C22" s="556" t="n"/>
      <c r="D22" s="556" t="n"/>
      <c r="E22" s="556" t="n"/>
      <c r="F22" s="556" t="n"/>
      <c r="G22" s="556" t="n"/>
      <c r="H22" s="557" t="n"/>
      <c r="I22" s="530" t="str">
        <v>B22: Slides 61. Concise Toolkit pp. 19-25
After-class AI question: Explain Reproducible Stochastic Profit Simulation. Use a different example, then ask me one check question.</v>
      </c>
    </row>
    <row r="23" ht="30" customHeight="1">
      <c r="A23" s="534" t="inlineStr">
        <is>
          <t>Reason</t>
        </is>
      </c>
      <c r="B23" s="558" t="inlineStr">
        <is>
          <t>[Replace with 2-3 sentences: compare deterministic profit with fixed-reference mean simulated profit, interpret the inclusive fifth percentile in dollars, and state one model limitation; do not use optional F9 outcomes as exact evidence.]</t>
        </is>
      </c>
      <c r="C23" s="559" t="n"/>
      <c r="D23" s="559" t="n"/>
      <c r="E23" s="559" t="n"/>
      <c r="F23" s="559" t="n"/>
      <c r="G23" s="559" t="n"/>
      <c r="H23" s="560" t="n"/>
      <c r="I23" s="530" t="str">
        <v>B23: Slides 61. Concise Toolkit pp. 19-25
After-class AI question: Explain Reproducible Stochastic Profit Simulation. Use a different example, then ask me one check question.</v>
      </c>
    </row>
    <row r="24" ht="30" customHeight="1">
      <c r="A24" s="533" t="n"/>
      <c r="B24" s="561" t="n"/>
      <c r="C24" s="548" t="n"/>
      <c r="D24" s="548" t="n"/>
      <c r="E24" s="548" t="n"/>
      <c r="F24" s="548" t="n"/>
      <c r="G24" s="548" t="n"/>
      <c r="H24" s="562" t="n"/>
      <c r="I24" s="530"/>
    </row>
    <row r="25" ht="30" customHeight="1">
      <c r="A25" s="533" t="n"/>
      <c r="B25" s="563" t="n"/>
      <c r="C25" s="564" t="n"/>
      <c r="D25" s="564" t="n"/>
      <c r="E25" s="564" t="n"/>
      <c r="F25" s="564" t="n"/>
      <c r="G25" s="564" t="n"/>
      <c r="H25" s="565" t="n"/>
      <c r="I25" s="530"/>
    </row>
    <row r="26">
      <c r="A26" s="533" t="n"/>
      <c r="B26" s="533" t="n"/>
      <c r="C26" s="533" t="n"/>
      <c r="D26" s="533" t="n"/>
      <c r="E26" s="533" t="n"/>
      <c r="F26" s="533" t="n"/>
      <c r="G26" s="533" t="n"/>
      <c r="H26" s="533" t="n"/>
      <c r="I26" s="515"/>
    </row>
    <row r="27" ht="49.5" customHeight="1">
      <c r="A27" s="534" t="inlineStr">
        <is>
          <t>H3 evidence caption</t>
        </is>
      </c>
      <c r="B27" s="558" t="inlineStr">
        <is>
          <t>[Replace with 1-2 sentences: name H3 Reference Profit Summary; report its mean, sample SD, inclusive fifth percentile, and trial count; compare the SPSS results with Excel within the stated tolerance. Report any optional Python/R comparison separately, only if you actually ran and checked it.]</t>
        </is>
      </c>
      <c r="C27" s="559" t="n"/>
      <c r="D27" s="559" t="n"/>
      <c r="E27" s="559" t="n"/>
      <c r="F27" s="559" t="n"/>
      <c r="G27" s="559" t="n"/>
      <c r="H27" s="560" t="n"/>
      <c r="I27" s="530" t="str">
        <v>B27: Slides 61. Concise Toolkit pp. 19-25
After-class AI question: Explain Reproducible Stochastic Profit Simulation. Use a different example, then ask me one check question.</v>
      </c>
    </row>
    <row r="28" ht="34.5" customHeight="1">
      <c r="A28" s="533" t="n"/>
      <c r="B28" s="563" t="n"/>
      <c r="C28" s="564" t="n"/>
      <c r="D28" s="564" t="n"/>
      <c r="E28" s="564" t="n"/>
      <c r="F28" s="564" t="n"/>
      <c r="G28" s="564" t="n"/>
      <c r="H28" s="565" t="n"/>
      <c r="I28" s="530"/>
    </row>
    <row r="29">
      <c r="A29" s="533" t="n"/>
      <c r="B29" s="533" t="n"/>
      <c r="C29" s="533" t="n"/>
      <c r="D29" s="533" t="n"/>
      <c r="E29" s="533" t="n"/>
      <c r="F29" s="533" t="n"/>
      <c r="G29" s="533" t="n"/>
      <c r="H29" s="533" t="n"/>
      <c r="I29" s="515"/>
    </row>
    <row r="30">
      <c r="A30" s="533" t="n"/>
      <c r="B30" s="533" t="n"/>
      <c r="C30" s="533" t="n"/>
      <c r="D30" s="533" t="n"/>
      <c r="E30" s="533" t="n"/>
      <c r="F30" s="533" t="n"/>
      <c r="G30" s="533" t="n"/>
      <c r="H30" s="533" t="n"/>
      <c r="I30" s="515"/>
    </row>
    <row r="31">
      <c r="A31" s="533" t="n"/>
      <c r="B31" s="533" t="n"/>
      <c r="C31" s="533" t="n"/>
      <c r="D31" s="533" t="n"/>
      <c r="E31" s="533" t="n"/>
      <c r="F31" s="533" t="n"/>
      <c r="G31" s="533" t="n"/>
      <c r="H31" s="533" t="n"/>
      <c r="I31" s="515"/>
    </row>
    <row r="32" ht="90.0" customHeight="1">
      <c r="A32" s="553" t="n"/>
      <c r="B32" s="553" t="n"/>
      <c r="C32" s="572" t="n"/>
      <c r="D32" s="536">
        <f>IFERROR(IF(OR(ISBLANK(B32),ISBLANK(C32)),"Not started",IF(AND(ABS(B32-(653.820722423058))&lt;=1.30764144484612,ABS(C32-(30574.76140596))&lt;=61.1495228119199),"Result matches","Check the result")),"Formula error")</f>
        <v/>
      </c>
      <c r="E32" s="537" t="n"/>
      <c r="F32" s="538" t="inlineStr">
        <is>
          <t>None. Practice check: 653.821; use the cell's stated units. Do not replace u_001 with RAND in the graded workbook; F9 variation belongs only to LAB02_Live_Exploration.xlsx.</t>
        </is>
      </c>
      <c r="G32" s="537" t="n"/>
      <c r="H32" s="537" t="n"/>
      <c r="I32" s="530" t="str">
        <v>A32:C32: Section study support: Slides 45, 52, 54, 61. Concise Toolkit pp. 19-25
After-class AI question: Explain Reproducible Stochastic Profit Simulation. Use a different example, then ask me one check question.</v>
      </c>
    </row>
    <row r="33" ht="24" customHeight="1">
      <c r="A33" s="539" t="n"/>
      <c r="B33" s="539" t="n"/>
      <c r="C33" s="571" t="n"/>
      <c r="D33" s="533" t="n"/>
      <c r="E33" s="533" t="n"/>
      <c r="F33" s="533" t="n"/>
      <c r="G33" s="533" t="n"/>
      <c r="H33" s="533" t="n"/>
      <c r="I33" s="515"/>
    </row>
    <row r="34" ht="24" customHeight="1">
      <c r="A34" s="539" t="n"/>
      <c r="B34" s="539" t="n"/>
      <c r="C34" s="571" t="n"/>
      <c r="D34" s="533" t="n"/>
      <c r="E34" s="533" t="n"/>
      <c r="F34" s="533" t="n"/>
      <c r="G34" s="533" t="n"/>
      <c r="H34" s="533" t="n"/>
      <c r="I34" s="515"/>
    </row>
    <row r="35" ht="24" customHeight="1">
      <c r="A35" s="539" t="n"/>
      <c r="B35" s="539" t="n"/>
      <c r="C35" s="571" t="n"/>
      <c r="D35" s="533" t="n"/>
      <c r="E35" s="533" t="n"/>
      <c r="F35" s="533" t="n"/>
      <c r="G35" s="533" t="n"/>
      <c r="H35" s="533" t="n"/>
      <c r="I35" s="515"/>
    </row>
    <row r="36" ht="24" customHeight="1">
      <c r="A36" s="539" t="n"/>
      <c r="B36" s="539" t="n"/>
      <c r="C36" s="571" t="n"/>
      <c r="D36" s="533" t="n"/>
      <c r="E36" s="533" t="n"/>
      <c r="F36" s="533" t="n"/>
      <c r="G36" s="533" t="n"/>
      <c r="H36" s="533" t="n"/>
      <c r="I36" s="515"/>
    </row>
    <row r="37" ht="24" customHeight="1">
      <c r="A37" s="539" t="n"/>
      <c r="B37" s="539" t="n"/>
      <c r="C37" s="571" t="n"/>
      <c r="D37" s="533" t="n"/>
      <c r="E37" s="533" t="n"/>
      <c r="F37" s="533" t="n"/>
      <c r="G37" s="533" t="n"/>
      <c r="H37" s="533" t="n"/>
      <c r="I37" s="515"/>
    </row>
    <row r="38" ht="24" customHeight="1">
      <c r="A38" s="539" t="n"/>
      <c r="B38" s="539" t="n"/>
      <c r="C38" s="571" t="n"/>
      <c r="D38" s="533" t="n"/>
      <c r="E38" s="533" t="n"/>
      <c r="F38" s="533" t="n"/>
      <c r="G38" s="533" t="n"/>
      <c r="H38" s="533" t="n"/>
      <c r="I38" s="515"/>
    </row>
    <row r="39" ht="24" customHeight="1">
      <c r="A39" s="539" t="n"/>
      <c r="B39" s="539" t="n"/>
      <c r="C39" s="571" t="n"/>
      <c r="D39" s="533" t="n"/>
      <c r="E39" s="533" t="n"/>
      <c r="F39" s="533" t="n"/>
      <c r="G39" s="533" t="n"/>
      <c r="H39" s="533" t="n"/>
      <c r="I39" s="515"/>
    </row>
    <row r="40" ht="24" customHeight="1">
      <c r="A40" s="539" t="n"/>
      <c r="B40" s="539" t="n"/>
      <c r="C40" s="571" t="n"/>
      <c r="D40" s="533" t="n"/>
      <c r="E40" s="533" t="n"/>
      <c r="F40" s="533" t="n"/>
      <c r="G40" s="533" t="n"/>
      <c r="H40" s="533" t="n"/>
      <c r="I40" s="515"/>
    </row>
    <row r="41" ht="24" customHeight="1">
      <c r="A41" s="539" t="n"/>
      <c r="B41" s="539" t="n"/>
      <c r="C41" s="571" t="n"/>
      <c r="D41" s="533" t="n"/>
      <c r="E41" s="533" t="n"/>
      <c r="F41" s="533" t="n"/>
      <c r="G41" s="533" t="n"/>
      <c r="H41" s="533" t="n"/>
    </row>
    <row r="42" ht="24" customHeight="1">
      <c r="A42" s="539" t="n"/>
      <c r="B42" s="539" t="n"/>
      <c r="C42" s="571" t="n"/>
      <c r="D42" s="533" t="n"/>
      <c r="E42" s="533" t="n"/>
      <c r="F42" s="533" t="n"/>
      <c r="G42" s="533" t="n"/>
      <c r="H42" s="533" t="n"/>
    </row>
    <row r="43" ht="24" customHeight="1">
      <c r="A43" s="539" t="n"/>
      <c r="B43" s="539" t="n"/>
      <c r="C43" s="571" t="n"/>
      <c r="D43" s="533" t="n"/>
      <c r="E43" s="533" t="n"/>
      <c r="F43" s="533" t="n"/>
      <c r="G43" s="533" t="n"/>
      <c r="H43" s="533" t="n"/>
    </row>
    <row r="44" ht="24" customHeight="1">
      <c r="A44" s="539" t="n"/>
      <c r="B44" s="539" t="n"/>
      <c r="C44" s="571" t="n"/>
      <c r="D44" s="533" t="n"/>
      <c r="E44" s="533" t="n"/>
      <c r="F44" s="533" t="n"/>
      <c r="G44" s="533" t="n"/>
      <c r="H44" s="533" t="n"/>
    </row>
    <row r="45" ht="24" customHeight="1">
      <c r="A45" s="539" t="n"/>
      <c r="B45" s="539" t="n"/>
      <c r="C45" s="571" t="n"/>
      <c r="D45" s="533" t="n"/>
      <c r="E45" s="533" t="n"/>
      <c r="F45" s="533" t="n"/>
      <c r="G45" s="533" t="n"/>
      <c r="H45" s="533" t="n"/>
    </row>
    <row r="46" ht="24" customHeight="1">
      <c r="A46" s="539" t="n"/>
      <c r="B46" s="539" t="n"/>
      <c r="C46" s="571" t="n"/>
      <c r="D46" s="533" t="n"/>
      <c r="E46" s="533" t="n"/>
      <c r="F46" s="533" t="n"/>
      <c r="G46" s="533" t="n"/>
      <c r="H46" s="533" t="n"/>
    </row>
    <row r="47" ht="24" customHeight="1">
      <c r="A47" s="539" t="n"/>
      <c r="B47" s="539" t="n"/>
      <c r="C47" s="571" t="n"/>
      <c r="D47" s="533" t="n"/>
      <c r="E47" s="533" t="n"/>
      <c r="F47" s="533" t="n"/>
      <c r="G47" s="533" t="n"/>
      <c r="H47" s="533" t="n"/>
    </row>
    <row r="48" ht="24" customHeight="1">
      <c r="A48" s="539" t="n"/>
      <c r="B48" s="539" t="n"/>
      <c r="C48" s="571" t="n"/>
      <c r="D48" s="533" t="n"/>
      <c r="E48" s="533" t="n"/>
      <c r="F48" s="533" t="n"/>
      <c r="G48" s="533" t="n"/>
      <c r="H48" s="533" t="n"/>
    </row>
    <row r="49" ht="24" customHeight="1">
      <c r="A49" s="539" t="n"/>
      <c r="B49" s="539" t="n"/>
      <c r="C49" s="571" t="n"/>
      <c r="D49" s="533" t="n"/>
      <c r="E49" s="533" t="n"/>
      <c r="F49" s="533" t="n"/>
      <c r="G49" s="533" t="n"/>
      <c r="H49" s="533" t="n"/>
    </row>
    <row r="50" ht="24" customHeight="1">
      <c r="A50" s="539" t="n"/>
      <c r="B50" s="539" t="n"/>
      <c r="C50" s="571" t="n"/>
      <c r="D50" s="533" t="n"/>
      <c r="E50" s="533" t="n"/>
      <c r="F50" s="533" t="n"/>
      <c r="G50" s="533" t="n"/>
      <c r="H50" s="533" t="n"/>
    </row>
    <row r="51" ht="24" customHeight="1">
      <c r="A51" s="539" t="n"/>
      <c r="B51" s="539" t="n"/>
      <c r="C51" s="571" t="n"/>
      <c r="D51" s="533" t="n"/>
      <c r="E51" s="533" t="n"/>
      <c r="F51" s="533" t="n"/>
      <c r="G51" s="533" t="n"/>
      <c r="H51" s="533" t="n"/>
    </row>
    <row r="52" ht="24" customHeight="1">
      <c r="A52" s="539" t="n"/>
      <c r="B52" s="539" t="n"/>
      <c r="C52" s="571" t="n"/>
      <c r="D52" s="533" t="n"/>
      <c r="E52" s="533" t="n"/>
      <c r="F52" s="533" t="n"/>
      <c r="G52" s="533" t="n"/>
      <c r="H52" s="533" t="n"/>
    </row>
    <row r="53" ht="24" customHeight="1">
      <c r="A53" s="539" t="n"/>
      <c r="B53" s="539" t="n"/>
      <c r="C53" s="571" t="n"/>
      <c r="D53" s="533" t="n"/>
      <c r="E53" s="533" t="n"/>
      <c r="F53" s="533" t="n"/>
      <c r="G53" s="533" t="n"/>
      <c r="H53" s="533" t="n"/>
    </row>
    <row r="54" ht="24" customHeight="1">
      <c r="A54" s="539" t="n"/>
      <c r="B54" s="539" t="n"/>
      <c r="C54" s="571" t="n"/>
      <c r="D54" s="533" t="n"/>
      <c r="E54" s="533" t="n"/>
      <c r="F54" s="533" t="n"/>
      <c r="G54" s="533" t="n"/>
      <c r="H54" s="533" t="n"/>
    </row>
    <row r="55" ht="24" customHeight="1">
      <c r="A55" s="539" t="n"/>
      <c r="B55" s="539" t="n"/>
      <c r="C55" s="571" t="n"/>
      <c r="D55" s="533" t="n"/>
      <c r="E55" s="533" t="n"/>
      <c r="F55" s="533" t="n"/>
      <c r="G55" s="533" t="n"/>
      <c r="H55" s="533" t="n"/>
    </row>
    <row r="56" ht="24" customHeight="1">
      <c r="A56" s="539" t="n"/>
      <c r="B56" s="539" t="n"/>
      <c r="C56" s="571" t="n"/>
      <c r="D56" s="533" t="n"/>
      <c r="E56" s="533" t="n"/>
      <c r="F56" s="533" t="n"/>
      <c r="G56" s="533" t="n"/>
      <c r="H56" s="533" t="n"/>
    </row>
    <row r="57" ht="24" customHeight="1">
      <c r="A57" s="539" t="n"/>
      <c r="B57" s="539" t="n"/>
      <c r="C57" s="571" t="n"/>
      <c r="D57" s="533" t="n"/>
      <c r="E57" s="533" t="n"/>
      <c r="F57" s="533" t="n"/>
      <c r="G57" s="533" t="n"/>
      <c r="H57" s="533" t="n"/>
    </row>
    <row r="58" ht="24" customHeight="1">
      <c r="A58" s="539" t="n"/>
      <c r="B58" s="539" t="n"/>
      <c r="C58" s="571" t="n"/>
      <c r="D58" s="533" t="n"/>
      <c r="E58" s="533" t="n"/>
      <c r="F58" s="533" t="n"/>
      <c r="G58" s="533" t="n"/>
      <c r="H58" s="533" t="n"/>
    </row>
    <row r="59" ht="24" customHeight="1">
      <c r="A59" s="539" t="n"/>
      <c r="B59" s="539" t="n"/>
      <c r="C59" s="571" t="n"/>
      <c r="D59" s="533" t="n"/>
      <c r="E59" s="533" t="n"/>
      <c r="F59" s="533" t="n"/>
      <c r="G59" s="533" t="n"/>
      <c r="H59" s="533" t="n"/>
    </row>
    <row r="60" ht="24" customHeight="1">
      <c r="A60" s="539" t="n"/>
      <c r="B60" s="539" t="n"/>
      <c r="C60" s="571" t="n"/>
      <c r="D60" s="533" t="n"/>
      <c r="E60" s="533" t="n"/>
      <c r="F60" s="533" t="n"/>
      <c r="G60" s="533" t="n"/>
      <c r="H60" s="533" t="n"/>
    </row>
    <row r="61" ht="24" customHeight="1">
      <c r="A61" s="539" t="n"/>
      <c r="B61" s="539" t="n"/>
      <c r="C61" s="571" t="n"/>
      <c r="D61" s="533" t="n"/>
      <c r="E61" s="533" t="n"/>
      <c r="F61" s="533" t="n"/>
      <c r="G61" s="533" t="n"/>
      <c r="H61" s="533" t="n"/>
    </row>
    <row r="62" ht="24" customHeight="1">
      <c r="A62" s="539" t="n"/>
      <c r="B62" s="539" t="n"/>
      <c r="C62" s="571" t="n"/>
      <c r="D62" s="533" t="n"/>
      <c r="E62" s="533" t="n"/>
      <c r="F62" s="533" t="n"/>
      <c r="G62" s="533" t="n"/>
      <c r="H62" s="533" t="n"/>
    </row>
    <row r="63" ht="24" customHeight="1">
      <c r="A63" s="539" t="n"/>
      <c r="B63" s="539" t="n"/>
      <c r="C63" s="571" t="n"/>
      <c r="D63" s="533" t="n"/>
      <c r="E63" s="533" t="n"/>
      <c r="F63" s="533" t="n"/>
      <c r="G63" s="533" t="n"/>
      <c r="H63" s="533" t="n"/>
    </row>
    <row r="64" ht="24" customHeight="1">
      <c r="A64" s="539" t="n"/>
      <c r="B64" s="539" t="n"/>
      <c r="C64" s="571" t="n"/>
      <c r="D64" s="533" t="n"/>
      <c r="E64" s="533" t="n"/>
      <c r="F64" s="533" t="n"/>
      <c r="G64" s="533" t="n"/>
      <c r="H64" s="533" t="n"/>
    </row>
    <row r="65" ht="24" customHeight="1">
      <c r="A65" s="539" t="n"/>
      <c r="B65" s="539" t="n"/>
      <c r="C65" s="571" t="n"/>
      <c r="D65" s="533" t="n"/>
      <c r="E65" s="533" t="n"/>
      <c r="F65" s="533" t="n"/>
      <c r="G65" s="533" t="n"/>
      <c r="H65" s="533" t="n"/>
    </row>
    <row r="66" ht="24" customHeight="1">
      <c r="A66" s="539" t="n"/>
      <c r="B66" s="539" t="n"/>
      <c r="C66" s="571" t="n"/>
      <c r="D66" s="533" t="n"/>
      <c r="E66" s="533" t="n"/>
      <c r="F66" s="533" t="n"/>
      <c r="G66" s="533" t="n"/>
      <c r="H66" s="533" t="n"/>
    </row>
    <row r="67" ht="24" customHeight="1">
      <c r="A67" s="539" t="n"/>
      <c r="B67" s="539" t="n"/>
      <c r="C67" s="571" t="n"/>
      <c r="D67" s="533" t="n"/>
      <c r="E67" s="533" t="n"/>
      <c r="F67" s="533" t="n"/>
      <c r="G67" s="533" t="n"/>
      <c r="H67" s="533" t="n"/>
    </row>
    <row r="68" ht="24" customHeight="1">
      <c r="A68" s="539" t="n"/>
      <c r="B68" s="539" t="n"/>
      <c r="C68" s="571" t="n"/>
      <c r="D68" s="533" t="n"/>
      <c r="E68" s="533" t="n"/>
      <c r="F68" s="533" t="n"/>
      <c r="G68" s="533" t="n"/>
      <c r="H68" s="533" t="n"/>
    </row>
    <row r="69" ht="24" customHeight="1">
      <c r="A69" s="539" t="n"/>
      <c r="B69" s="539" t="n"/>
      <c r="C69" s="571" t="n"/>
      <c r="D69" s="533" t="n"/>
      <c r="E69" s="533" t="n"/>
      <c r="F69" s="533" t="n"/>
      <c r="G69" s="533" t="n"/>
      <c r="H69" s="533" t="n"/>
    </row>
    <row r="70" ht="24" customHeight="1">
      <c r="A70" s="539" t="n"/>
      <c r="B70" s="539" t="n"/>
      <c r="C70" s="571" t="n"/>
      <c r="D70" s="533" t="n"/>
      <c r="E70" s="533" t="n"/>
      <c r="F70" s="533" t="n"/>
      <c r="G70" s="533" t="n"/>
      <c r="H70" s="533" t="n"/>
    </row>
    <row r="71" ht="24" customHeight="1">
      <c r="A71" s="539" t="n"/>
      <c r="B71" s="539" t="n"/>
      <c r="C71" s="571" t="n"/>
      <c r="D71" s="533" t="n"/>
      <c r="E71" s="533" t="n"/>
      <c r="F71" s="533" t="n"/>
      <c r="G71" s="533" t="n"/>
      <c r="H71" s="533" t="n"/>
    </row>
    <row r="72" ht="24" customHeight="1">
      <c r="A72" s="539" t="n"/>
      <c r="B72" s="539" t="n"/>
      <c r="C72" s="571" t="n"/>
      <c r="D72" s="533" t="n"/>
      <c r="E72" s="533" t="n"/>
      <c r="F72" s="533" t="n"/>
      <c r="G72" s="533" t="n"/>
      <c r="H72" s="533" t="n"/>
    </row>
    <row r="73" ht="24" customHeight="1">
      <c r="A73" s="539" t="n"/>
      <c r="B73" s="539" t="n"/>
      <c r="C73" s="571" t="n"/>
      <c r="D73" s="533" t="n"/>
      <c r="E73" s="533" t="n"/>
      <c r="F73" s="533" t="n"/>
      <c r="G73" s="533" t="n"/>
      <c r="H73" s="533" t="n"/>
    </row>
    <row r="74" ht="24" customHeight="1">
      <c r="A74" s="539" t="n"/>
      <c r="B74" s="539" t="n"/>
      <c r="C74" s="571" t="n"/>
      <c r="D74" s="533" t="n"/>
      <c r="E74" s="533" t="n"/>
      <c r="F74" s="533" t="n"/>
      <c r="G74" s="533" t="n"/>
      <c r="H74" s="533" t="n"/>
    </row>
    <row r="75" ht="24" customHeight="1">
      <c r="A75" s="539" t="n"/>
      <c r="B75" s="539" t="n"/>
      <c r="C75" s="571" t="n"/>
      <c r="D75" s="533" t="n"/>
      <c r="E75" s="533" t="n"/>
      <c r="F75" s="533" t="n"/>
      <c r="G75" s="533" t="n"/>
      <c r="H75" s="533" t="n"/>
    </row>
    <row r="76" ht="24" customHeight="1">
      <c r="A76" s="539" t="n"/>
      <c r="B76" s="539" t="n"/>
      <c r="C76" s="571" t="n"/>
      <c r="D76" s="533" t="n"/>
      <c r="E76" s="533" t="n"/>
      <c r="F76" s="533" t="n"/>
      <c r="G76" s="533" t="n"/>
      <c r="H76" s="533" t="n"/>
    </row>
    <row r="77" ht="24" customHeight="1">
      <c r="A77" s="539" t="n"/>
      <c r="B77" s="539" t="n"/>
      <c r="C77" s="571" t="n"/>
      <c r="D77" s="533" t="n"/>
      <c r="E77" s="533" t="n"/>
      <c r="F77" s="533" t="n"/>
      <c r="G77" s="533" t="n"/>
      <c r="H77" s="533" t="n"/>
    </row>
    <row r="78" ht="24" customHeight="1">
      <c r="A78" s="539" t="n"/>
      <c r="B78" s="539" t="n"/>
      <c r="C78" s="571" t="n"/>
      <c r="D78" s="533" t="n"/>
      <c r="E78" s="533" t="n"/>
      <c r="F78" s="533" t="n"/>
      <c r="G78" s="533" t="n"/>
      <c r="H78" s="533" t="n"/>
    </row>
    <row r="79" ht="24" customHeight="1">
      <c r="A79" s="539" t="n"/>
      <c r="B79" s="539" t="n"/>
      <c r="C79" s="571" t="n"/>
      <c r="D79" s="533" t="n"/>
      <c r="E79" s="533" t="n"/>
      <c r="F79" s="533" t="n"/>
      <c r="G79" s="533" t="n"/>
      <c r="H79" s="533" t="n"/>
    </row>
    <row r="80" ht="24" customHeight="1">
      <c r="A80" s="539" t="n"/>
      <c r="B80" s="539" t="n"/>
      <c r="C80" s="571" t="n"/>
      <c r="D80" s="533" t="n"/>
      <c r="E80" s="533" t="n"/>
      <c r="F80" s="533" t="n"/>
      <c r="G80" s="533" t="n"/>
      <c r="H80" s="533" t="n"/>
    </row>
    <row r="81" ht="24" customHeight="1">
      <c r="A81" s="539" t="n"/>
      <c r="B81" s="539" t="n"/>
      <c r="C81" s="571" t="n"/>
      <c r="D81" s="533" t="n"/>
      <c r="E81" s="533" t="n"/>
      <c r="F81" s="533" t="n"/>
      <c r="G81" s="533" t="n"/>
      <c r="H81" s="533" t="n"/>
    </row>
    <row r="82" ht="24" customHeight="1">
      <c r="A82" s="539" t="n"/>
      <c r="B82" s="539" t="n"/>
      <c r="C82" s="571" t="n"/>
      <c r="D82" s="533" t="n"/>
      <c r="E82" s="533" t="n"/>
      <c r="F82" s="533" t="n"/>
      <c r="G82" s="533" t="n"/>
      <c r="H82" s="533" t="n"/>
    </row>
    <row r="83" ht="24" customHeight="1">
      <c r="A83" s="539" t="n"/>
      <c r="B83" s="539" t="n"/>
      <c r="C83" s="571" t="n"/>
      <c r="D83" s="533" t="n"/>
      <c r="E83" s="533" t="n"/>
      <c r="F83" s="533" t="n"/>
      <c r="G83" s="533" t="n"/>
      <c r="H83" s="533" t="n"/>
    </row>
    <row r="84" ht="24" customHeight="1">
      <c r="A84" s="539" t="n"/>
      <c r="B84" s="539" t="n"/>
      <c r="C84" s="571" t="n"/>
      <c r="D84" s="533" t="n"/>
      <c r="E84" s="533" t="n"/>
      <c r="F84" s="533" t="n"/>
      <c r="G84" s="533" t="n"/>
      <c r="H84" s="533" t="n"/>
    </row>
    <row r="85" ht="24" customHeight="1">
      <c r="A85" s="539" t="n"/>
      <c r="B85" s="539" t="n"/>
      <c r="C85" s="571" t="n"/>
      <c r="D85" s="533" t="n"/>
      <c r="E85" s="533" t="n"/>
      <c r="F85" s="533" t="n"/>
      <c r="G85" s="533" t="n"/>
      <c r="H85" s="533" t="n"/>
    </row>
    <row r="86" ht="24" customHeight="1">
      <c r="A86" s="539" t="n"/>
      <c r="B86" s="539" t="n"/>
      <c r="C86" s="571" t="n"/>
      <c r="D86" s="533" t="n"/>
      <c r="E86" s="533" t="n"/>
      <c r="F86" s="533" t="n"/>
      <c r="G86" s="533" t="n"/>
      <c r="H86" s="533" t="n"/>
    </row>
    <row r="87" ht="24" customHeight="1">
      <c r="A87" s="539" t="n"/>
      <c r="B87" s="539" t="n"/>
      <c r="C87" s="571" t="n"/>
      <c r="D87" s="533" t="n"/>
      <c r="E87" s="533" t="n"/>
      <c r="F87" s="533" t="n"/>
      <c r="G87" s="533" t="n"/>
      <c r="H87" s="533" t="n"/>
    </row>
    <row r="88" ht="24" customHeight="1">
      <c r="A88" s="539" t="n"/>
      <c r="B88" s="539" t="n"/>
      <c r="C88" s="571" t="n"/>
      <c r="D88" s="533" t="n"/>
      <c r="E88" s="533" t="n"/>
      <c r="F88" s="533" t="n"/>
      <c r="G88" s="533" t="n"/>
      <c r="H88" s="533" t="n"/>
    </row>
    <row r="89" ht="24" customHeight="1">
      <c r="A89" s="539" t="n"/>
      <c r="B89" s="539" t="n"/>
      <c r="C89" s="571" t="n"/>
      <c r="D89" s="533" t="n"/>
      <c r="E89" s="533" t="n"/>
      <c r="F89" s="533" t="n"/>
      <c r="G89" s="533" t="n"/>
      <c r="H89" s="533" t="n"/>
    </row>
    <row r="90" ht="24" customHeight="1">
      <c r="A90" s="539" t="n"/>
      <c r="B90" s="539" t="n"/>
      <c r="C90" s="571" t="n"/>
      <c r="D90" s="533" t="n"/>
      <c r="E90" s="533" t="n"/>
      <c r="F90" s="533" t="n"/>
      <c r="G90" s="533" t="n"/>
      <c r="H90" s="533" t="n"/>
    </row>
    <row r="91" ht="24" customHeight="1">
      <c r="A91" s="539" t="n"/>
      <c r="B91" s="539" t="n"/>
      <c r="C91" s="571" t="n"/>
      <c r="D91" s="533" t="n"/>
      <c r="E91" s="533" t="n"/>
      <c r="F91" s="533" t="n"/>
      <c r="G91" s="533" t="n"/>
      <c r="H91" s="533" t="n"/>
    </row>
    <row r="92" ht="24" customHeight="1">
      <c r="A92" s="539" t="n"/>
      <c r="B92" s="539" t="n"/>
      <c r="C92" s="571" t="n"/>
      <c r="D92" s="533" t="n"/>
      <c r="E92" s="533" t="n"/>
      <c r="F92" s="533" t="n"/>
      <c r="G92" s="533" t="n"/>
      <c r="H92" s="533" t="n"/>
    </row>
    <row r="93" ht="24" customHeight="1">
      <c r="A93" s="539" t="n"/>
      <c r="B93" s="539" t="n"/>
      <c r="C93" s="571" t="n"/>
      <c r="D93" s="533" t="n"/>
      <c r="E93" s="533" t="n"/>
      <c r="F93" s="533" t="n"/>
      <c r="G93" s="533" t="n"/>
      <c r="H93" s="533" t="n"/>
    </row>
    <row r="94" ht="24" customHeight="1">
      <c r="A94" s="539" t="n"/>
      <c r="B94" s="539" t="n"/>
      <c r="C94" s="571" t="n"/>
      <c r="D94" s="533" t="n"/>
      <c r="E94" s="533" t="n"/>
      <c r="F94" s="533" t="n"/>
      <c r="G94" s="533" t="n"/>
      <c r="H94" s="533" t="n"/>
    </row>
    <row r="95" ht="24" customHeight="1">
      <c r="A95" s="539" t="n"/>
      <c r="B95" s="539" t="n"/>
      <c r="C95" s="571" t="n"/>
      <c r="D95" s="533" t="n"/>
      <c r="E95" s="533" t="n"/>
      <c r="F95" s="533" t="n"/>
      <c r="G95" s="533" t="n"/>
      <c r="H95" s="533" t="n"/>
    </row>
    <row r="96" ht="24" customHeight="1">
      <c r="A96" s="539" t="n"/>
      <c r="B96" s="539" t="n"/>
      <c r="C96" s="571" t="n"/>
      <c r="D96" s="533" t="n"/>
      <c r="E96" s="533" t="n"/>
      <c r="F96" s="533" t="n"/>
      <c r="G96" s="533" t="n"/>
      <c r="H96" s="533" t="n"/>
    </row>
    <row r="97" ht="24" customHeight="1">
      <c r="A97" s="539" t="n"/>
      <c r="B97" s="539" t="n"/>
      <c r="C97" s="571" t="n"/>
      <c r="D97" s="533" t="n"/>
      <c r="E97" s="533" t="n"/>
      <c r="F97" s="533" t="n"/>
      <c r="G97" s="533" t="n"/>
      <c r="H97" s="533" t="n"/>
    </row>
    <row r="98" ht="24" customHeight="1">
      <c r="A98" s="539" t="n"/>
      <c r="B98" s="539" t="n"/>
      <c r="C98" s="571" t="n"/>
      <c r="D98" s="533" t="n"/>
      <c r="E98" s="533" t="n"/>
      <c r="F98" s="533" t="n"/>
      <c r="G98" s="533" t="n"/>
      <c r="H98" s="533" t="n"/>
    </row>
    <row r="99" ht="24" customHeight="1">
      <c r="A99" s="539" t="n"/>
      <c r="B99" s="539" t="n"/>
      <c r="C99" s="571" t="n"/>
      <c r="D99" s="533" t="n"/>
      <c r="E99" s="533" t="n"/>
      <c r="F99" s="533" t="n"/>
      <c r="G99" s="533" t="n"/>
      <c r="H99" s="533" t="n"/>
    </row>
    <row r="100" ht="24" customHeight="1">
      <c r="A100" s="539" t="n"/>
      <c r="B100" s="539" t="n"/>
      <c r="C100" s="571" t="n"/>
      <c r="D100" s="533" t="n"/>
      <c r="E100" s="533" t="n"/>
      <c r="F100" s="533" t="n"/>
      <c r="G100" s="533" t="n"/>
      <c r="H100" s="533" t="n"/>
    </row>
    <row r="101" ht="24" customHeight="1">
      <c r="A101" s="539" t="n"/>
      <c r="B101" s="539" t="n"/>
      <c r="C101" s="571" t="n"/>
      <c r="D101" s="533" t="n"/>
      <c r="E101" s="533" t="n"/>
      <c r="F101" s="533" t="n"/>
      <c r="G101" s="533" t="n"/>
      <c r="H101" s="533" t="n"/>
    </row>
    <row r="102" ht="24" customHeight="1">
      <c r="A102" s="539" t="n"/>
      <c r="B102" s="539" t="n"/>
      <c r="C102" s="571" t="n"/>
      <c r="D102" s="533" t="n"/>
      <c r="E102" s="533" t="n"/>
      <c r="F102" s="533" t="n"/>
      <c r="G102" s="533" t="n"/>
      <c r="H102" s="533" t="n"/>
    </row>
    <row r="103" ht="24" customHeight="1">
      <c r="A103" s="539" t="n"/>
      <c r="B103" s="539" t="n"/>
      <c r="C103" s="571" t="n"/>
      <c r="D103" s="533" t="n"/>
      <c r="E103" s="533" t="n"/>
      <c r="F103" s="533" t="n"/>
      <c r="G103" s="533" t="n"/>
      <c r="H103" s="533" t="n"/>
    </row>
    <row r="104" ht="24" customHeight="1">
      <c r="A104" s="539" t="n"/>
      <c r="B104" s="539" t="n"/>
      <c r="C104" s="571" t="n"/>
      <c r="D104" s="533" t="n"/>
      <c r="E104" s="533" t="n"/>
      <c r="F104" s="533" t="n"/>
      <c r="G104" s="533" t="n"/>
      <c r="H104" s="533" t="n"/>
    </row>
    <row r="105" ht="24" customHeight="1">
      <c r="A105" s="539" t="n"/>
      <c r="B105" s="539" t="n"/>
      <c r="C105" s="571" t="n"/>
      <c r="D105" s="533" t="n"/>
      <c r="E105" s="533" t="n"/>
      <c r="F105" s="533" t="n"/>
      <c r="G105" s="533" t="n"/>
      <c r="H105" s="533" t="n"/>
    </row>
    <row r="106" ht="24" customHeight="1">
      <c r="A106" s="539" t="n"/>
      <c r="B106" s="539" t="n"/>
      <c r="C106" s="571" t="n"/>
      <c r="D106" s="533" t="n"/>
      <c r="E106" s="533" t="n"/>
      <c r="F106" s="533" t="n"/>
      <c r="G106" s="533" t="n"/>
      <c r="H106" s="533" t="n"/>
    </row>
    <row r="107" ht="24" customHeight="1">
      <c r="A107" s="539" t="n"/>
      <c r="B107" s="539" t="n"/>
      <c r="C107" s="571" t="n"/>
      <c r="D107" s="533" t="n"/>
      <c r="E107" s="533" t="n"/>
      <c r="F107" s="533" t="n"/>
      <c r="G107" s="533" t="n"/>
      <c r="H107" s="533" t="n"/>
    </row>
    <row r="108" ht="24" customHeight="1">
      <c r="A108" s="539" t="n"/>
      <c r="B108" s="539" t="n"/>
      <c r="C108" s="571" t="n"/>
      <c r="D108" s="533" t="n"/>
      <c r="E108" s="533" t="n"/>
      <c r="F108" s="533" t="n"/>
      <c r="G108" s="533" t="n"/>
      <c r="H108" s="533" t="n"/>
    </row>
    <row r="109" ht="24" customHeight="1">
      <c r="A109" s="539" t="n"/>
      <c r="B109" s="539" t="n"/>
      <c r="C109" s="571" t="n"/>
      <c r="D109" s="533" t="n"/>
      <c r="E109" s="533" t="n"/>
      <c r="F109" s="533" t="n"/>
      <c r="G109" s="533" t="n"/>
      <c r="H109" s="533" t="n"/>
    </row>
    <row r="110" ht="24" customHeight="1">
      <c r="A110" s="539" t="n"/>
      <c r="B110" s="539" t="n"/>
      <c r="C110" s="571" t="n"/>
      <c r="D110" s="533" t="n"/>
      <c r="E110" s="533" t="n"/>
      <c r="F110" s="533" t="n"/>
      <c r="G110" s="533" t="n"/>
      <c r="H110" s="533" t="n"/>
    </row>
    <row r="111" ht="24" customHeight="1">
      <c r="A111" s="539" t="n"/>
      <c r="B111" s="539" t="n"/>
      <c r="C111" s="571" t="n"/>
      <c r="D111" s="533" t="n"/>
      <c r="E111" s="533" t="n"/>
      <c r="F111" s="533" t="n"/>
      <c r="G111" s="533" t="n"/>
      <c r="H111" s="533" t="n"/>
    </row>
    <row r="112" ht="24" customHeight="1">
      <c r="A112" s="539" t="n"/>
      <c r="B112" s="539" t="n"/>
      <c r="C112" s="571" t="n"/>
      <c r="D112" s="533" t="n"/>
      <c r="E112" s="533" t="n"/>
      <c r="F112" s="533" t="n"/>
      <c r="G112" s="533" t="n"/>
      <c r="H112" s="533" t="n"/>
    </row>
    <row r="113" ht="24" customHeight="1">
      <c r="A113" s="539" t="n"/>
      <c r="B113" s="539" t="n"/>
      <c r="C113" s="571" t="n"/>
      <c r="D113" s="533" t="n"/>
      <c r="E113" s="533" t="n"/>
      <c r="F113" s="533" t="n"/>
      <c r="G113" s="533" t="n"/>
      <c r="H113" s="533" t="n"/>
    </row>
    <row r="114" ht="24" customHeight="1">
      <c r="A114" s="539" t="n"/>
      <c r="B114" s="539" t="n"/>
      <c r="C114" s="571" t="n"/>
      <c r="D114" s="533" t="n"/>
      <c r="E114" s="533" t="n"/>
      <c r="F114" s="533" t="n"/>
      <c r="G114" s="533" t="n"/>
      <c r="H114" s="533" t="n"/>
    </row>
    <row r="115" ht="24" customHeight="1">
      <c r="A115" s="539" t="n"/>
      <c r="B115" s="539" t="n"/>
      <c r="C115" s="571" t="n"/>
      <c r="D115" s="533" t="n"/>
      <c r="E115" s="533" t="n"/>
      <c r="F115" s="533" t="n"/>
      <c r="G115" s="533" t="n"/>
      <c r="H115" s="533" t="n"/>
    </row>
    <row r="116" ht="24" customHeight="1">
      <c r="A116" s="539" t="n"/>
      <c r="B116" s="539" t="n"/>
      <c r="C116" s="571" t="n"/>
      <c r="D116" s="533" t="n"/>
      <c r="E116" s="533" t="n"/>
      <c r="F116" s="533" t="n"/>
      <c r="G116" s="533" t="n"/>
      <c r="H116" s="533" t="n"/>
    </row>
    <row r="117" ht="24" customHeight="1">
      <c r="A117" s="539" t="n"/>
      <c r="B117" s="539" t="n"/>
      <c r="C117" s="571" t="n"/>
      <c r="D117" s="533" t="n"/>
      <c r="E117" s="533" t="n"/>
      <c r="F117" s="533" t="n"/>
      <c r="G117" s="533" t="n"/>
      <c r="H117" s="533" t="n"/>
    </row>
    <row r="118" ht="24" customHeight="1">
      <c r="A118" s="539" t="n"/>
      <c r="B118" s="539" t="n"/>
      <c r="C118" s="571" t="n"/>
      <c r="D118" s="533" t="n"/>
      <c r="E118" s="533" t="n"/>
      <c r="F118" s="533" t="n"/>
      <c r="G118" s="533" t="n"/>
      <c r="H118" s="533" t="n"/>
    </row>
    <row r="119" ht="24" customHeight="1">
      <c r="A119" s="539" t="n"/>
      <c r="B119" s="539" t="n"/>
      <c r="C119" s="571" t="n"/>
      <c r="D119" s="533" t="n"/>
      <c r="E119" s="533" t="n"/>
      <c r="F119" s="533" t="n"/>
      <c r="G119" s="533" t="n"/>
      <c r="H119" s="533" t="n"/>
    </row>
    <row r="120" ht="24" customHeight="1">
      <c r="A120" s="539" t="n"/>
      <c r="B120" s="539" t="n"/>
      <c r="C120" s="571" t="n"/>
      <c r="D120" s="533" t="n"/>
      <c r="E120" s="533" t="n"/>
      <c r="F120" s="533" t="n"/>
      <c r="G120" s="533" t="n"/>
      <c r="H120" s="533" t="n"/>
    </row>
    <row r="121" ht="24" customHeight="1">
      <c r="A121" s="539" t="n"/>
      <c r="B121" s="539" t="n"/>
      <c r="C121" s="571" t="n"/>
      <c r="D121" s="533" t="n"/>
      <c r="E121" s="533" t="n"/>
      <c r="F121" s="533" t="n"/>
      <c r="G121" s="533" t="n"/>
      <c r="H121" s="533" t="n"/>
    </row>
    <row r="122" ht="24" customHeight="1">
      <c r="A122" s="539" t="n"/>
      <c r="B122" s="539" t="n"/>
      <c r="C122" s="571" t="n"/>
      <c r="D122" s="533" t="n"/>
      <c r="E122" s="533" t="n"/>
      <c r="F122" s="533" t="n"/>
      <c r="G122" s="533" t="n"/>
      <c r="H122" s="533" t="n"/>
    </row>
    <row r="123" ht="24" customHeight="1">
      <c r="A123" s="539" t="n"/>
      <c r="B123" s="539" t="n"/>
      <c r="C123" s="571" t="n"/>
      <c r="D123" s="533" t="n"/>
      <c r="E123" s="533" t="n"/>
      <c r="F123" s="533" t="n"/>
      <c r="G123" s="533" t="n"/>
      <c r="H123" s="533" t="n"/>
    </row>
    <row r="124" ht="24" customHeight="1">
      <c r="A124" s="539" t="n"/>
      <c r="B124" s="539" t="n"/>
      <c r="C124" s="571" t="n"/>
      <c r="D124" s="533" t="n"/>
      <c r="E124" s="533" t="n"/>
      <c r="F124" s="533" t="n"/>
      <c r="G124" s="533" t="n"/>
      <c r="H124" s="533" t="n"/>
    </row>
    <row r="125" ht="24" customHeight="1">
      <c r="A125" s="539" t="n"/>
      <c r="B125" s="539" t="n"/>
      <c r="C125" s="571" t="n"/>
      <c r="D125" s="533" t="n"/>
      <c r="E125" s="533" t="n"/>
      <c r="F125" s="533" t="n"/>
      <c r="G125" s="533" t="n"/>
      <c r="H125" s="533" t="n"/>
    </row>
    <row r="126" ht="24" customHeight="1">
      <c r="A126" s="539" t="n"/>
      <c r="B126" s="539" t="n"/>
      <c r="C126" s="571" t="n"/>
      <c r="D126" s="533" t="n"/>
      <c r="E126" s="533" t="n"/>
      <c r="F126" s="533" t="n"/>
      <c r="G126" s="533" t="n"/>
      <c r="H126" s="533" t="n"/>
    </row>
    <row r="127" ht="24" customHeight="1">
      <c r="A127" s="539" t="n"/>
      <c r="B127" s="539" t="n"/>
      <c r="C127" s="571" t="n"/>
      <c r="D127" s="533" t="n"/>
      <c r="E127" s="533" t="n"/>
      <c r="F127" s="533" t="n"/>
      <c r="G127" s="533" t="n"/>
      <c r="H127" s="533" t="n"/>
    </row>
    <row r="128" ht="24" customHeight="1">
      <c r="A128" s="539" t="n"/>
      <c r="B128" s="539" t="n"/>
      <c r="C128" s="571" t="n"/>
      <c r="D128" s="533" t="n"/>
      <c r="E128" s="533" t="n"/>
      <c r="F128" s="533" t="n"/>
      <c r="G128" s="533" t="n"/>
      <c r="H128" s="533" t="n"/>
    </row>
    <row r="129" ht="24" customHeight="1">
      <c r="A129" s="539" t="n"/>
      <c r="B129" s="539" t="n"/>
      <c r="C129" s="571" t="n"/>
      <c r="D129" s="533" t="n"/>
      <c r="E129" s="533" t="n"/>
      <c r="F129" s="533" t="n"/>
      <c r="G129" s="533" t="n"/>
      <c r="H129" s="533" t="n"/>
    </row>
    <row r="130" ht="24" customHeight="1">
      <c r="A130" s="539" t="n"/>
      <c r="B130" s="539" t="n"/>
      <c r="C130" s="571" t="n"/>
      <c r="D130" s="533" t="n"/>
      <c r="E130" s="533" t="n"/>
      <c r="F130" s="533" t="n"/>
      <c r="G130" s="533" t="n"/>
      <c r="H130" s="533" t="n"/>
    </row>
    <row r="131" ht="24" customHeight="1">
      <c r="A131" s="539" t="n"/>
      <c r="B131" s="539" t="n"/>
      <c r="C131" s="571" t="n"/>
      <c r="D131" s="533" t="n"/>
      <c r="E131" s="533" t="n"/>
      <c r="F131" s="533" t="n"/>
      <c r="G131" s="533" t="n"/>
      <c r="H131" s="533" t="n"/>
    </row>
    <row r="132" ht="24" customHeight="1">
      <c r="A132" s="539" t="n"/>
      <c r="B132" s="539" t="n"/>
      <c r="C132" s="571" t="n"/>
      <c r="D132" s="533" t="n"/>
      <c r="E132" s="533" t="n"/>
      <c r="F132" s="533" t="n"/>
      <c r="G132" s="533" t="n"/>
      <c r="H132" s="533" t="n"/>
    </row>
    <row r="133" ht="24" customHeight="1">
      <c r="A133" s="539" t="n"/>
      <c r="B133" s="539" t="n"/>
      <c r="C133" s="571" t="n"/>
      <c r="D133" s="533" t="n"/>
      <c r="E133" s="533" t="n"/>
      <c r="F133" s="533" t="n"/>
      <c r="G133" s="533" t="n"/>
      <c r="H133" s="533" t="n"/>
    </row>
    <row r="134" ht="24" customHeight="1">
      <c r="A134" s="539" t="n"/>
      <c r="B134" s="539" t="n"/>
      <c r="C134" s="571" t="n"/>
      <c r="D134" s="533" t="n"/>
      <c r="E134" s="533" t="n"/>
      <c r="F134" s="533" t="n"/>
      <c r="G134" s="533" t="n"/>
      <c r="H134" s="533" t="n"/>
    </row>
    <row r="135" ht="24" customHeight="1">
      <c r="A135" s="539" t="n"/>
      <c r="B135" s="539" t="n"/>
      <c r="C135" s="571" t="n"/>
      <c r="D135" s="533" t="n"/>
      <c r="E135" s="533" t="n"/>
      <c r="F135" s="533" t="n"/>
      <c r="G135" s="533" t="n"/>
      <c r="H135" s="533" t="n"/>
    </row>
    <row r="136" ht="24" customHeight="1">
      <c r="A136" s="539" t="n"/>
      <c r="B136" s="539" t="n"/>
      <c r="C136" s="571" t="n"/>
      <c r="D136" s="533" t="n"/>
      <c r="E136" s="533" t="n"/>
      <c r="F136" s="533" t="n"/>
      <c r="G136" s="533" t="n"/>
      <c r="H136" s="533" t="n"/>
    </row>
    <row r="137" ht="24" customHeight="1">
      <c r="A137" s="539" t="n"/>
      <c r="B137" s="539" t="n"/>
      <c r="C137" s="571" t="n"/>
      <c r="D137" s="533" t="n"/>
      <c r="E137" s="533" t="n"/>
      <c r="F137" s="533" t="n"/>
      <c r="G137" s="533" t="n"/>
      <c r="H137" s="533" t="n"/>
    </row>
    <row r="138" ht="24" customHeight="1">
      <c r="A138" s="539" t="n"/>
      <c r="B138" s="539" t="n"/>
      <c r="C138" s="571" t="n"/>
      <c r="D138" s="533" t="n"/>
      <c r="E138" s="533" t="n"/>
      <c r="F138" s="533" t="n"/>
      <c r="G138" s="533" t="n"/>
      <c r="H138" s="533" t="n"/>
    </row>
    <row r="139" ht="24" customHeight="1">
      <c r="A139" s="539" t="n"/>
      <c r="B139" s="539" t="n"/>
      <c r="C139" s="571" t="n"/>
      <c r="D139" s="533" t="n"/>
      <c r="E139" s="533" t="n"/>
      <c r="F139" s="533" t="n"/>
      <c r="G139" s="533" t="n"/>
      <c r="H139" s="533" t="n"/>
    </row>
    <row r="140" ht="24" customHeight="1">
      <c r="A140" s="539" t="n"/>
      <c r="B140" s="539" t="n"/>
      <c r="C140" s="571" t="n"/>
      <c r="D140" s="533" t="n"/>
      <c r="E140" s="533" t="n"/>
      <c r="F140" s="533" t="n"/>
      <c r="G140" s="533" t="n"/>
      <c r="H140" s="533" t="n"/>
    </row>
    <row r="141" ht="24" customHeight="1">
      <c r="A141" s="539" t="n"/>
      <c r="B141" s="539" t="n"/>
      <c r="C141" s="571" t="n"/>
      <c r="D141" s="533" t="n"/>
      <c r="E141" s="533" t="n"/>
      <c r="F141" s="533" t="n"/>
      <c r="G141" s="533" t="n"/>
      <c r="H141" s="533" t="n"/>
    </row>
    <row r="142" ht="24" customHeight="1">
      <c r="A142" s="539" t="n"/>
      <c r="B142" s="539" t="n"/>
      <c r="C142" s="571" t="n"/>
      <c r="D142" s="533" t="n"/>
      <c r="E142" s="533" t="n"/>
      <c r="F142" s="533" t="n"/>
      <c r="G142" s="533" t="n"/>
      <c r="H142" s="533" t="n"/>
    </row>
    <row r="143" ht="24" customHeight="1">
      <c r="A143" s="539" t="n"/>
      <c r="B143" s="539" t="n"/>
      <c r="C143" s="571" t="n"/>
      <c r="D143" s="533" t="n"/>
      <c r="E143" s="533" t="n"/>
      <c r="F143" s="533" t="n"/>
      <c r="G143" s="533" t="n"/>
      <c r="H143" s="533" t="n"/>
    </row>
    <row r="144" ht="24" customHeight="1">
      <c r="A144" s="539" t="n"/>
      <c r="B144" s="539" t="n"/>
      <c r="C144" s="571" t="n"/>
      <c r="D144" s="533" t="n"/>
      <c r="E144" s="533" t="n"/>
      <c r="F144" s="533" t="n"/>
      <c r="G144" s="533" t="n"/>
      <c r="H144" s="533" t="n"/>
    </row>
    <row r="145" ht="24" customHeight="1">
      <c r="A145" s="539" t="n"/>
      <c r="B145" s="539" t="n"/>
      <c r="C145" s="571" t="n"/>
      <c r="D145" s="533" t="n"/>
      <c r="E145" s="533" t="n"/>
      <c r="F145" s="533" t="n"/>
      <c r="G145" s="533" t="n"/>
      <c r="H145" s="533" t="n"/>
    </row>
    <row r="146" ht="24" customHeight="1">
      <c r="A146" s="539" t="n"/>
      <c r="B146" s="539" t="n"/>
      <c r="C146" s="571" t="n"/>
      <c r="D146" s="533" t="n"/>
      <c r="E146" s="533" t="n"/>
      <c r="F146" s="533" t="n"/>
      <c r="G146" s="533" t="n"/>
      <c r="H146" s="533" t="n"/>
    </row>
    <row r="147" ht="24" customHeight="1">
      <c r="A147" s="539" t="n"/>
      <c r="B147" s="539" t="n"/>
      <c r="C147" s="571" t="n"/>
      <c r="D147" s="533" t="n"/>
      <c r="E147" s="533" t="n"/>
      <c r="F147" s="533" t="n"/>
      <c r="G147" s="533" t="n"/>
      <c r="H147" s="533" t="n"/>
    </row>
    <row r="148" ht="24" customHeight="1">
      <c r="A148" s="539" t="n"/>
      <c r="B148" s="539" t="n"/>
      <c r="C148" s="571" t="n"/>
      <c r="D148" s="533" t="n"/>
      <c r="E148" s="533" t="n"/>
      <c r="F148" s="533" t="n"/>
      <c r="G148" s="533" t="n"/>
      <c r="H148" s="533" t="n"/>
    </row>
    <row r="149" ht="24" customHeight="1">
      <c r="A149" s="539" t="n"/>
      <c r="B149" s="539" t="n"/>
      <c r="C149" s="571" t="n"/>
      <c r="D149" s="533" t="n"/>
      <c r="E149" s="533" t="n"/>
      <c r="F149" s="533" t="n"/>
      <c r="G149" s="533" t="n"/>
      <c r="H149" s="533" t="n"/>
    </row>
    <row r="150" ht="24" customHeight="1">
      <c r="A150" s="539" t="n"/>
      <c r="B150" s="539" t="n"/>
      <c r="C150" s="571" t="n"/>
      <c r="D150" s="533" t="n"/>
      <c r="E150" s="533" t="n"/>
      <c r="F150" s="533" t="n"/>
      <c r="G150" s="533" t="n"/>
      <c r="H150" s="533" t="n"/>
    </row>
    <row r="151" ht="24" customHeight="1">
      <c r="A151" s="539" t="n"/>
      <c r="B151" s="539" t="n"/>
      <c r="C151" s="571" t="n"/>
      <c r="D151" s="533" t="n"/>
      <c r="E151" s="533" t="n"/>
      <c r="F151" s="533" t="n"/>
      <c r="G151" s="533" t="n"/>
      <c r="H151" s="533" t="n"/>
    </row>
    <row r="152" ht="24" customHeight="1">
      <c r="A152" s="539" t="n"/>
      <c r="B152" s="539" t="n"/>
      <c r="C152" s="571" t="n"/>
      <c r="D152" s="533" t="n"/>
      <c r="E152" s="533" t="n"/>
      <c r="F152" s="533" t="n"/>
      <c r="G152" s="533" t="n"/>
      <c r="H152" s="533" t="n"/>
    </row>
    <row r="153" ht="24" customHeight="1">
      <c r="A153" s="539" t="n"/>
      <c r="B153" s="539" t="n"/>
      <c r="C153" s="571" t="n"/>
      <c r="D153" s="533" t="n"/>
      <c r="E153" s="533" t="n"/>
      <c r="F153" s="533" t="n"/>
      <c r="G153" s="533" t="n"/>
      <c r="H153" s="533" t="n"/>
    </row>
    <row r="154" ht="24" customHeight="1">
      <c r="A154" s="539" t="n"/>
      <c r="B154" s="539" t="n"/>
      <c r="C154" s="571" t="n"/>
      <c r="D154" s="533" t="n"/>
      <c r="E154" s="533" t="n"/>
      <c r="F154" s="533" t="n"/>
      <c r="G154" s="533" t="n"/>
      <c r="H154" s="533" t="n"/>
    </row>
    <row r="155" ht="24" customHeight="1">
      <c r="A155" s="539" t="n"/>
      <c r="B155" s="539" t="n"/>
      <c r="C155" s="571" t="n"/>
      <c r="D155" s="533" t="n"/>
      <c r="E155" s="533" t="n"/>
      <c r="F155" s="533" t="n"/>
      <c r="G155" s="533" t="n"/>
      <c r="H155" s="533" t="n"/>
    </row>
    <row r="156" ht="24" customHeight="1">
      <c r="A156" s="539" t="n"/>
      <c r="B156" s="539" t="n"/>
      <c r="C156" s="571" t="n"/>
      <c r="D156" s="533" t="n"/>
      <c r="E156" s="533" t="n"/>
      <c r="F156" s="533" t="n"/>
      <c r="G156" s="533" t="n"/>
      <c r="H156" s="533" t="n"/>
    </row>
    <row r="157" ht="24" customHeight="1">
      <c r="A157" s="539" t="n"/>
      <c r="B157" s="539" t="n"/>
      <c r="C157" s="571" t="n"/>
      <c r="D157" s="533" t="n"/>
      <c r="E157" s="533" t="n"/>
      <c r="F157" s="533" t="n"/>
      <c r="G157" s="533" t="n"/>
      <c r="H157" s="533" t="n"/>
    </row>
    <row r="158" ht="24" customHeight="1">
      <c r="A158" s="539" t="n"/>
      <c r="B158" s="539" t="n"/>
      <c r="C158" s="571" t="n"/>
      <c r="D158" s="533" t="n"/>
      <c r="E158" s="533" t="n"/>
      <c r="F158" s="533" t="n"/>
      <c r="G158" s="533" t="n"/>
      <c r="H158" s="533" t="n"/>
    </row>
    <row r="159" ht="24" customHeight="1">
      <c r="A159" s="539" t="n"/>
      <c r="B159" s="539" t="n"/>
      <c r="C159" s="571" t="n"/>
      <c r="D159" s="533" t="n"/>
      <c r="E159" s="533" t="n"/>
      <c r="F159" s="533" t="n"/>
      <c r="G159" s="533" t="n"/>
      <c r="H159" s="533" t="n"/>
    </row>
    <row r="160" ht="24" customHeight="1">
      <c r="A160" s="539" t="n"/>
      <c r="B160" s="539" t="n"/>
      <c r="C160" s="571" t="n"/>
      <c r="D160" s="533" t="n"/>
      <c r="E160" s="533" t="n"/>
      <c r="F160" s="533" t="n"/>
      <c r="G160" s="533" t="n"/>
      <c r="H160" s="533" t="n"/>
    </row>
    <row r="161" ht="24" customHeight="1">
      <c r="A161" s="539" t="n"/>
      <c r="B161" s="539" t="n"/>
      <c r="C161" s="571" t="n"/>
      <c r="D161" s="533" t="n"/>
      <c r="E161" s="533" t="n"/>
      <c r="F161" s="533" t="n"/>
      <c r="G161" s="533" t="n"/>
      <c r="H161" s="533" t="n"/>
    </row>
    <row r="162" ht="24" customHeight="1">
      <c r="A162" s="539" t="n"/>
      <c r="B162" s="539" t="n"/>
      <c r="C162" s="571" t="n"/>
      <c r="D162" s="533" t="n"/>
      <c r="E162" s="533" t="n"/>
      <c r="F162" s="533" t="n"/>
      <c r="G162" s="533" t="n"/>
      <c r="H162" s="533" t="n"/>
    </row>
    <row r="163" ht="24" customHeight="1">
      <c r="A163" s="539" t="n"/>
      <c r="B163" s="539" t="n"/>
      <c r="C163" s="571" t="n"/>
      <c r="D163" s="533" t="n"/>
      <c r="E163" s="533" t="n"/>
      <c r="F163" s="533" t="n"/>
      <c r="G163" s="533" t="n"/>
      <c r="H163" s="533" t="n"/>
    </row>
    <row r="164" ht="24" customHeight="1">
      <c r="A164" s="539" t="n"/>
      <c r="B164" s="539" t="n"/>
      <c r="C164" s="571" t="n"/>
      <c r="D164" s="533" t="n"/>
      <c r="E164" s="533" t="n"/>
      <c r="F164" s="533" t="n"/>
      <c r="G164" s="533" t="n"/>
      <c r="H164" s="533" t="n"/>
    </row>
    <row r="165" ht="24" customHeight="1">
      <c r="A165" s="539" t="n"/>
      <c r="B165" s="539" t="n"/>
      <c r="C165" s="571" t="n"/>
      <c r="D165" s="533" t="n"/>
      <c r="E165" s="533" t="n"/>
      <c r="F165" s="533" t="n"/>
      <c r="G165" s="533" t="n"/>
      <c r="H165" s="533" t="n"/>
    </row>
    <row r="166" ht="24" customHeight="1">
      <c r="A166" s="539" t="n"/>
      <c r="B166" s="539" t="n"/>
      <c r="C166" s="571" t="n"/>
      <c r="D166" s="533" t="n"/>
      <c r="E166" s="533" t="n"/>
      <c r="F166" s="533" t="n"/>
      <c r="G166" s="533" t="n"/>
      <c r="H166" s="533" t="n"/>
    </row>
    <row r="167" ht="24" customHeight="1">
      <c r="A167" s="539" t="n"/>
      <c r="B167" s="539" t="n"/>
      <c r="C167" s="571" t="n"/>
      <c r="D167" s="533" t="n"/>
      <c r="E167" s="533" t="n"/>
      <c r="F167" s="533" t="n"/>
      <c r="G167" s="533" t="n"/>
      <c r="H167" s="533" t="n"/>
    </row>
    <row r="168" ht="24" customHeight="1">
      <c r="A168" s="539" t="n"/>
      <c r="B168" s="539" t="n"/>
      <c r="C168" s="571" t="n"/>
      <c r="D168" s="533" t="n"/>
      <c r="E168" s="533" t="n"/>
      <c r="F168" s="533" t="n"/>
      <c r="G168" s="533" t="n"/>
      <c r="H168" s="533" t="n"/>
    </row>
    <row r="169" ht="24" customHeight="1">
      <c r="A169" s="539" t="n"/>
      <c r="B169" s="539" t="n"/>
      <c r="C169" s="571" t="n"/>
      <c r="D169" s="533" t="n"/>
      <c r="E169" s="533" t="n"/>
      <c r="F169" s="533" t="n"/>
      <c r="G169" s="533" t="n"/>
      <c r="H169" s="533" t="n"/>
    </row>
    <row r="170" ht="24" customHeight="1">
      <c r="A170" s="539" t="n"/>
      <c r="B170" s="539" t="n"/>
      <c r="C170" s="571" t="n"/>
      <c r="D170" s="533" t="n"/>
      <c r="E170" s="533" t="n"/>
      <c r="F170" s="533" t="n"/>
      <c r="G170" s="533" t="n"/>
      <c r="H170" s="533" t="n"/>
    </row>
    <row r="171" ht="24" customHeight="1">
      <c r="A171" s="539" t="n"/>
      <c r="B171" s="539" t="n"/>
      <c r="C171" s="571" t="n"/>
      <c r="D171" s="533" t="n"/>
      <c r="E171" s="533" t="n"/>
      <c r="F171" s="533" t="n"/>
      <c r="G171" s="533" t="n"/>
      <c r="H171" s="533" t="n"/>
    </row>
    <row r="172" ht="24" customHeight="1">
      <c r="A172" s="539" t="n"/>
      <c r="B172" s="539" t="n"/>
      <c r="C172" s="571" t="n"/>
      <c r="D172" s="533" t="n"/>
      <c r="E172" s="533" t="n"/>
      <c r="F172" s="533" t="n"/>
      <c r="G172" s="533" t="n"/>
      <c r="H172" s="533" t="n"/>
    </row>
    <row r="173" ht="24" customHeight="1">
      <c r="A173" s="539" t="n"/>
      <c r="B173" s="539" t="n"/>
      <c r="C173" s="571" t="n"/>
      <c r="D173" s="533" t="n"/>
      <c r="E173" s="533" t="n"/>
      <c r="F173" s="533" t="n"/>
      <c r="G173" s="533" t="n"/>
      <c r="H173" s="533" t="n"/>
    </row>
    <row r="174" ht="24" customHeight="1">
      <c r="A174" s="539" t="n"/>
      <c r="B174" s="539" t="n"/>
      <c r="C174" s="571" t="n"/>
      <c r="D174" s="533" t="n"/>
      <c r="E174" s="533" t="n"/>
      <c r="F174" s="533" t="n"/>
      <c r="G174" s="533" t="n"/>
      <c r="H174" s="533" t="n"/>
    </row>
    <row r="175" ht="24" customHeight="1">
      <c r="A175" s="539" t="n"/>
      <c r="B175" s="539" t="n"/>
      <c r="C175" s="571" t="n"/>
      <c r="D175" s="533" t="n"/>
      <c r="E175" s="533" t="n"/>
      <c r="F175" s="533" t="n"/>
      <c r="G175" s="533" t="n"/>
      <c r="H175" s="533" t="n"/>
    </row>
    <row r="176" ht="24" customHeight="1">
      <c r="A176" s="539" t="n"/>
      <c r="B176" s="539" t="n"/>
      <c r="C176" s="571" t="n"/>
      <c r="D176" s="533" t="n"/>
      <c r="E176" s="533" t="n"/>
      <c r="F176" s="533" t="n"/>
      <c r="G176" s="533" t="n"/>
      <c r="H176" s="533" t="n"/>
    </row>
    <row r="177" ht="24" customHeight="1">
      <c r="A177" s="539" t="n"/>
      <c r="B177" s="539" t="n"/>
      <c r="C177" s="571" t="n"/>
      <c r="D177" s="533" t="n"/>
      <c r="E177" s="533" t="n"/>
      <c r="F177" s="533" t="n"/>
      <c r="G177" s="533" t="n"/>
      <c r="H177" s="533" t="n"/>
    </row>
    <row r="178" ht="24" customHeight="1">
      <c r="A178" s="539" t="n"/>
      <c r="B178" s="539" t="n"/>
      <c r="C178" s="571" t="n"/>
      <c r="D178" s="533" t="n"/>
      <c r="E178" s="533" t="n"/>
      <c r="F178" s="533" t="n"/>
      <c r="G178" s="533" t="n"/>
      <c r="H178" s="533" t="n"/>
    </row>
    <row r="179" ht="24" customHeight="1">
      <c r="A179" s="539" t="n"/>
      <c r="B179" s="539" t="n"/>
      <c r="C179" s="571" t="n"/>
      <c r="D179" s="533" t="n"/>
      <c r="E179" s="533" t="n"/>
      <c r="F179" s="533" t="n"/>
      <c r="G179" s="533" t="n"/>
      <c r="H179" s="533" t="n"/>
    </row>
    <row r="180" ht="24" customHeight="1">
      <c r="A180" s="539" t="n"/>
      <c r="B180" s="539" t="n"/>
      <c r="C180" s="571" t="n"/>
      <c r="D180" s="533" t="n"/>
      <c r="E180" s="533" t="n"/>
      <c r="F180" s="533" t="n"/>
      <c r="G180" s="533" t="n"/>
      <c r="H180" s="533" t="n"/>
    </row>
    <row r="181" ht="24" customHeight="1">
      <c r="A181" s="539" t="n"/>
      <c r="B181" s="539" t="n"/>
      <c r="C181" s="571" t="n"/>
      <c r="D181" s="533" t="n"/>
      <c r="E181" s="533" t="n"/>
      <c r="F181" s="533" t="n"/>
      <c r="G181" s="533" t="n"/>
      <c r="H181" s="533" t="n"/>
    </row>
    <row r="182" ht="24" customHeight="1">
      <c r="A182" s="539" t="n"/>
      <c r="B182" s="539" t="n"/>
      <c r="C182" s="571" t="n"/>
      <c r="D182" s="533" t="n"/>
      <c r="E182" s="533" t="n"/>
      <c r="F182" s="533" t="n"/>
      <c r="G182" s="533" t="n"/>
      <c r="H182" s="533" t="n"/>
    </row>
    <row r="183" ht="24" customHeight="1">
      <c r="A183" s="539" t="n"/>
      <c r="B183" s="539" t="n"/>
      <c r="C183" s="571" t="n"/>
      <c r="D183" s="533" t="n"/>
      <c r="E183" s="533" t="n"/>
      <c r="F183" s="533" t="n"/>
      <c r="G183" s="533" t="n"/>
      <c r="H183" s="533" t="n"/>
    </row>
    <row r="184" ht="24" customHeight="1">
      <c r="A184" s="539" t="n"/>
      <c r="B184" s="539" t="n"/>
      <c r="C184" s="571" t="n"/>
      <c r="D184" s="533" t="n"/>
      <c r="E184" s="533" t="n"/>
      <c r="F184" s="533" t="n"/>
      <c r="G184" s="533" t="n"/>
      <c r="H184" s="533" t="n"/>
    </row>
    <row r="185" ht="24" customHeight="1">
      <c r="A185" s="539" t="n"/>
      <c r="B185" s="539" t="n"/>
      <c r="C185" s="571" t="n"/>
      <c r="D185" s="533" t="n"/>
      <c r="E185" s="533" t="n"/>
      <c r="F185" s="533" t="n"/>
      <c r="G185" s="533" t="n"/>
      <c r="H185" s="533" t="n"/>
    </row>
    <row r="186" ht="24" customHeight="1">
      <c r="A186" s="539" t="n"/>
      <c r="B186" s="539" t="n"/>
      <c r="C186" s="571" t="n"/>
      <c r="D186" s="533" t="n"/>
      <c r="E186" s="533" t="n"/>
      <c r="F186" s="533" t="n"/>
      <c r="G186" s="533" t="n"/>
      <c r="H186" s="533" t="n"/>
    </row>
    <row r="187" ht="24" customHeight="1">
      <c r="A187" s="539" t="n"/>
      <c r="B187" s="539" t="n"/>
      <c r="C187" s="571" t="n"/>
      <c r="D187" s="533" t="n"/>
      <c r="E187" s="533" t="n"/>
      <c r="F187" s="533" t="n"/>
      <c r="G187" s="533" t="n"/>
      <c r="H187" s="533" t="n"/>
    </row>
    <row r="188" ht="24" customHeight="1">
      <c r="A188" s="539" t="n"/>
      <c r="B188" s="539" t="n"/>
      <c r="C188" s="571" t="n"/>
      <c r="D188" s="533" t="n"/>
      <c r="E188" s="533" t="n"/>
      <c r="F188" s="533" t="n"/>
      <c r="G188" s="533" t="n"/>
      <c r="H188" s="533" t="n"/>
    </row>
    <row r="189" ht="24" customHeight="1">
      <c r="A189" s="539" t="n"/>
      <c r="B189" s="539" t="n"/>
      <c r="C189" s="571" t="n"/>
      <c r="D189" s="533" t="n"/>
      <c r="E189" s="533" t="n"/>
      <c r="F189" s="533" t="n"/>
      <c r="G189" s="533" t="n"/>
      <c r="H189" s="533" t="n"/>
    </row>
    <row r="190" ht="24" customHeight="1">
      <c r="A190" s="539" t="n"/>
      <c r="B190" s="539" t="n"/>
      <c r="C190" s="571" t="n"/>
      <c r="D190" s="533" t="n"/>
      <c r="E190" s="533" t="n"/>
      <c r="F190" s="533" t="n"/>
      <c r="G190" s="533" t="n"/>
      <c r="H190" s="533" t="n"/>
    </row>
    <row r="191" ht="24" customHeight="1">
      <c r="A191" s="539" t="n"/>
      <c r="B191" s="539" t="n"/>
      <c r="C191" s="571" t="n"/>
      <c r="D191" s="533" t="n"/>
      <c r="E191" s="533" t="n"/>
      <c r="F191" s="533" t="n"/>
      <c r="G191" s="533" t="n"/>
      <c r="H191" s="533" t="n"/>
    </row>
    <row r="192" ht="24" customHeight="1">
      <c r="A192" s="539" t="n"/>
      <c r="B192" s="539" t="n"/>
      <c r="C192" s="571" t="n"/>
      <c r="D192" s="533" t="n"/>
      <c r="E192" s="533" t="n"/>
      <c r="F192" s="533" t="n"/>
      <c r="G192" s="533" t="n"/>
      <c r="H192" s="533" t="n"/>
    </row>
    <row r="193" ht="24" customHeight="1">
      <c r="A193" s="539" t="n"/>
      <c r="B193" s="539" t="n"/>
      <c r="C193" s="571" t="n"/>
      <c r="D193" s="533" t="n"/>
      <c r="E193" s="533" t="n"/>
      <c r="F193" s="533" t="n"/>
      <c r="G193" s="533" t="n"/>
      <c r="H193" s="533" t="n"/>
    </row>
    <row r="194" ht="24" customHeight="1">
      <c r="A194" s="539" t="n"/>
      <c r="B194" s="539" t="n"/>
      <c r="C194" s="571" t="n"/>
      <c r="D194" s="533" t="n"/>
      <c r="E194" s="533" t="n"/>
      <c r="F194" s="533" t="n"/>
      <c r="G194" s="533" t="n"/>
      <c r="H194" s="533" t="n"/>
    </row>
    <row r="195" ht="24" customHeight="1">
      <c r="A195" s="539" t="n"/>
      <c r="B195" s="539" t="n"/>
      <c r="C195" s="571" t="n"/>
      <c r="D195" s="533" t="n"/>
      <c r="E195" s="533" t="n"/>
      <c r="F195" s="533" t="n"/>
      <c r="G195" s="533" t="n"/>
      <c r="H195" s="533" t="n"/>
    </row>
    <row r="196" ht="24" customHeight="1">
      <c r="A196" s="539" t="n"/>
      <c r="B196" s="539" t="n"/>
      <c r="C196" s="571" t="n"/>
      <c r="D196" s="533" t="n"/>
      <c r="E196" s="533" t="n"/>
      <c r="F196" s="533" t="n"/>
      <c r="G196" s="533" t="n"/>
      <c r="H196" s="533" t="n"/>
    </row>
    <row r="197" ht="24" customHeight="1">
      <c r="A197" s="539" t="n"/>
      <c r="B197" s="539" t="n"/>
      <c r="C197" s="571" t="n"/>
      <c r="D197" s="533" t="n"/>
      <c r="E197" s="533" t="n"/>
      <c r="F197" s="533" t="n"/>
      <c r="G197" s="533" t="n"/>
      <c r="H197" s="533" t="n"/>
    </row>
    <row r="198" ht="24" customHeight="1">
      <c r="A198" s="539" t="n"/>
      <c r="B198" s="539" t="n"/>
      <c r="C198" s="571" t="n"/>
      <c r="D198" s="533" t="n"/>
      <c r="E198" s="533" t="n"/>
      <c r="F198" s="533" t="n"/>
      <c r="G198" s="533" t="n"/>
      <c r="H198" s="533" t="n"/>
    </row>
    <row r="199" ht="24" customHeight="1">
      <c r="A199" s="539" t="n"/>
      <c r="B199" s="539" t="n"/>
      <c r="C199" s="571" t="n"/>
      <c r="D199" s="533" t="n"/>
      <c r="E199" s="533" t="n"/>
      <c r="F199" s="533" t="n"/>
      <c r="G199" s="533" t="n"/>
      <c r="H199" s="533" t="n"/>
    </row>
    <row r="200" ht="24" customHeight="1">
      <c r="A200" s="539" t="n"/>
      <c r="B200" s="539" t="n"/>
      <c r="C200" s="571" t="n"/>
      <c r="D200" s="533" t="n"/>
      <c r="E200" s="533" t="n"/>
      <c r="F200" s="533" t="n"/>
      <c r="G200" s="533" t="n"/>
      <c r="H200" s="533" t="n"/>
    </row>
    <row r="201" ht="24" customHeight="1">
      <c r="A201" s="539" t="n"/>
      <c r="B201" s="539" t="n"/>
      <c r="C201" s="571" t="n"/>
      <c r="D201" s="533" t="n"/>
      <c r="E201" s="533" t="n"/>
      <c r="F201" s="533" t="n"/>
      <c r="G201" s="533" t="n"/>
      <c r="H201" s="533" t="n"/>
    </row>
    <row r="202" ht="24" customHeight="1">
      <c r="A202" s="539" t="n"/>
      <c r="B202" s="539" t="n"/>
      <c r="C202" s="571" t="n"/>
      <c r="D202" s="533" t="n"/>
      <c r="E202" s="533" t="n"/>
      <c r="F202" s="533" t="n"/>
      <c r="G202" s="533" t="n"/>
      <c r="H202" s="533" t="n"/>
    </row>
    <row r="203" ht="24" customHeight="1">
      <c r="A203" s="539" t="n"/>
      <c r="B203" s="539" t="n"/>
      <c r="C203" s="571" t="n"/>
      <c r="D203" s="533" t="n"/>
      <c r="E203" s="533" t="n"/>
      <c r="F203" s="533" t="n"/>
      <c r="G203" s="533" t="n"/>
      <c r="H203" s="533" t="n"/>
    </row>
    <row r="204" ht="24" customHeight="1">
      <c r="A204" s="539" t="n"/>
      <c r="B204" s="539" t="n"/>
      <c r="C204" s="571" t="n"/>
      <c r="D204" s="533" t="n"/>
      <c r="E204" s="533" t="n"/>
      <c r="F204" s="533" t="n"/>
      <c r="G204" s="533" t="n"/>
      <c r="H204" s="533" t="n"/>
    </row>
    <row r="205" ht="24" customHeight="1">
      <c r="A205" s="539" t="n"/>
      <c r="B205" s="539" t="n"/>
      <c r="C205" s="571" t="n"/>
      <c r="D205" s="533" t="n"/>
      <c r="E205" s="533" t="n"/>
      <c r="F205" s="533" t="n"/>
      <c r="G205" s="533" t="n"/>
      <c r="H205" s="533" t="n"/>
    </row>
    <row r="206" ht="24" customHeight="1">
      <c r="A206" s="539" t="n"/>
      <c r="B206" s="539" t="n"/>
      <c r="C206" s="571" t="n"/>
      <c r="D206" s="533" t="n"/>
      <c r="E206" s="533" t="n"/>
      <c r="F206" s="533" t="n"/>
      <c r="G206" s="533" t="n"/>
      <c r="H206" s="533" t="n"/>
    </row>
    <row r="207" ht="24" customHeight="1">
      <c r="A207" s="539" t="n"/>
      <c r="B207" s="539" t="n"/>
      <c r="C207" s="571" t="n"/>
      <c r="D207" s="533" t="n"/>
      <c r="E207" s="533" t="n"/>
      <c r="F207" s="533" t="n"/>
      <c r="G207" s="533" t="n"/>
      <c r="H207" s="533" t="n"/>
    </row>
    <row r="208" ht="24" customHeight="1">
      <c r="A208" s="539" t="n"/>
      <c r="B208" s="539" t="n"/>
      <c r="C208" s="571" t="n"/>
      <c r="D208" s="533" t="n"/>
      <c r="E208" s="533" t="n"/>
      <c r="F208" s="533" t="n"/>
      <c r="G208" s="533" t="n"/>
      <c r="H208" s="533" t="n"/>
    </row>
    <row r="209" ht="24" customHeight="1">
      <c r="A209" s="539" t="n"/>
      <c r="B209" s="539" t="n"/>
      <c r="C209" s="571" t="n"/>
      <c r="D209" s="533" t="n"/>
      <c r="E209" s="533" t="n"/>
      <c r="F209" s="533" t="n"/>
      <c r="G209" s="533" t="n"/>
      <c r="H209" s="533" t="n"/>
    </row>
    <row r="210" ht="24" customHeight="1">
      <c r="A210" s="539" t="n"/>
      <c r="B210" s="539" t="n"/>
      <c r="C210" s="571" t="n"/>
      <c r="D210" s="533" t="n"/>
      <c r="E210" s="533" t="n"/>
      <c r="F210" s="533" t="n"/>
      <c r="G210" s="533" t="n"/>
      <c r="H210" s="533" t="n"/>
    </row>
    <row r="211" ht="24" customHeight="1">
      <c r="A211" s="539" t="n"/>
      <c r="B211" s="539" t="n"/>
      <c r="C211" s="571" t="n"/>
      <c r="D211" s="533" t="n"/>
      <c r="E211" s="533" t="n"/>
      <c r="F211" s="533" t="n"/>
      <c r="G211" s="533" t="n"/>
      <c r="H211" s="533" t="n"/>
    </row>
    <row r="212" ht="24" customHeight="1">
      <c r="A212" s="539" t="n"/>
      <c r="B212" s="539" t="n"/>
      <c r="C212" s="571" t="n"/>
      <c r="D212" s="533" t="n"/>
      <c r="E212" s="533" t="n"/>
      <c r="F212" s="533" t="n"/>
      <c r="G212" s="533" t="n"/>
      <c r="H212" s="533" t="n"/>
    </row>
    <row r="213" ht="24" customHeight="1">
      <c r="A213" s="539" t="n"/>
      <c r="B213" s="539" t="n"/>
      <c r="C213" s="571" t="n"/>
      <c r="D213" s="533" t="n"/>
      <c r="E213" s="533" t="n"/>
      <c r="F213" s="533" t="n"/>
      <c r="G213" s="533" t="n"/>
      <c r="H213" s="533" t="n"/>
    </row>
    <row r="214" ht="24" customHeight="1">
      <c r="A214" s="539" t="n"/>
      <c r="B214" s="539" t="n"/>
      <c r="C214" s="571" t="n"/>
      <c r="D214" s="533" t="n"/>
      <c r="E214" s="533" t="n"/>
      <c r="F214" s="533" t="n"/>
      <c r="G214" s="533" t="n"/>
      <c r="H214" s="533" t="n"/>
    </row>
    <row r="215" ht="24" customHeight="1">
      <c r="A215" s="539" t="n"/>
      <c r="B215" s="539" t="n"/>
      <c r="C215" s="571" t="n"/>
      <c r="D215" s="533" t="n"/>
      <c r="E215" s="533" t="n"/>
      <c r="F215" s="533" t="n"/>
      <c r="G215" s="533" t="n"/>
      <c r="H215" s="533" t="n"/>
    </row>
    <row r="216" ht="24" customHeight="1">
      <c r="A216" s="539" t="n"/>
      <c r="B216" s="539" t="n"/>
      <c r="C216" s="571" t="n"/>
      <c r="D216" s="533" t="n"/>
      <c r="E216" s="533" t="n"/>
      <c r="F216" s="533" t="n"/>
      <c r="G216" s="533" t="n"/>
      <c r="H216" s="533" t="n"/>
    </row>
    <row r="217" ht="24" customHeight="1">
      <c r="A217" s="539" t="n"/>
      <c r="B217" s="539" t="n"/>
      <c r="C217" s="571" t="n"/>
      <c r="D217" s="533" t="n"/>
      <c r="E217" s="533" t="n"/>
      <c r="F217" s="533" t="n"/>
      <c r="G217" s="533" t="n"/>
      <c r="H217" s="533" t="n"/>
    </row>
    <row r="218" ht="24" customHeight="1">
      <c r="A218" s="539" t="n"/>
      <c r="B218" s="539" t="n"/>
      <c r="C218" s="571" t="n"/>
      <c r="D218" s="533" t="n"/>
      <c r="E218" s="533" t="n"/>
      <c r="F218" s="533" t="n"/>
      <c r="G218" s="533" t="n"/>
      <c r="H218" s="533" t="n"/>
    </row>
    <row r="219" ht="24" customHeight="1">
      <c r="A219" s="539" t="n"/>
      <c r="B219" s="539" t="n"/>
      <c r="C219" s="571" t="n"/>
      <c r="D219" s="533" t="n"/>
      <c r="E219" s="533" t="n"/>
      <c r="F219" s="533" t="n"/>
      <c r="G219" s="533" t="n"/>
      <c r="H219" s="533" t="n"/>
    </row>
    <row r="220" ht="24" customHeight="1">
      <c r="A220" s="539" t="n"/>
      <c r="B220" s="539" t="n"/>
      <c r="C220" s="571" t="n"/>
      <c r="D220" s="533" t="n"/>
      <c r="E220" s="533" t="n"/>
      <c r="F220" s="533" t="n"/>
      <c r="G220" s="533" t="n"/>
      <c r="H220" s="533" t="n"/>
    </row>
    <row r="221" ht="24" customHeight="1">
      <c r="A221" s="539" t="n"/>
      <c r="B221" s="539" t="n"/>
      <c r="C221" s="571" t="n"/>
      <c r="D221" s="533" t="n"/>
      <c r="E221" s="533" t="n"/>
      <c r="F221" s="533" t="n"/>
      <c r="G221" s="533" t="n"/>
      <c r="H221" s="533" t="n"/>
    </row>
    <row r="222" ht="24" customHeight="1">
      <c r="A222" s="539" t="n"/>
      <c r="B222" s="539" t="n"/>
      <c r="C222" s="571" t="n"/>
      <c r="D222" s="533" t="n"/>
      <c r="E222" s="533" t="n"/>
      <c r="F222" s="533" t="n"/>
      <c r="G222" s="533" t="n"/>
      <c r="H222" s="533" t="n"/>
    </row>
    <row r="223" ht="24" customHeight="1">
      <c r="A223" s="539" t="n"/>
      <c r="B223" s="539" t="n"/>
      <c r="C223" s="571" t="n"/>
      <c r="D223" s="533" t="n"/>
      <c r="E223" s="533" t="n"/>
      <c r="F223" s="533" t="n"/>
      <c r="G223" s="533" t="n"/>
      <c r="H223" s="533" t="n"/>
    </row>
    <row r="224" ht="24" customHeight="1">
      <c r="A224" s="539" t="n"/>
      <c r="B224" s="539" t="n"/>
      <c r="C224" s="571" t="n"/>
      <c r="D224" s="533" t="n"/>
      <c r="E224" s="533" t="n"/>
      <c r="F224" s="533" t="n"/>
      <c r="G224" s="533" t="n"/>
      <c r="H224" s="533" t="n"/>
    </row>
    <row r="225" ht="24" customHeight="1">
      <c r="A225" s="539" t="n"/>
      <c r="B225" s="539" t="n"/>
      <c r="C225" s="571" t="n"/>
      <c r="D225" s="533" t="n"/>
      <c r="E225" s="533" t="n"/>
      <c r="F225" s="533" t="n"/>
      <c r="G225" s="533" t="n"/>
      <c r="H225" s="533" t="n"/>
    </row>
    <row r="226" ht="24" customHeight="1">
      <c r="A226" s="539" t="n"/>
      <c r="B226" s="539" t="n"/>
      <c r="C226" s="571" t="n"/>
      <c r="D226" s="533" t="n"/>
      <c r="E226" s="533" t="n"/>
      <c r="F226" s="533" t="n"/>
      <c r="G226" s="533" t="n"/>
      <c r="H226" s="533" t="n"/>
    </row>
    <row r="227" ht="24" customHeight="1">
      <c r="A227" s="539" t="n"/>
      <c r="B227" s="539" t="n"/>
      <c r="C227" s="571" t="n"/>
      <c r="D227" s="533" t="n"/>
      <c r="E227" s="533" t="n"/>
      <c r="F227" s="533" t="n"/>
      <c r="G227" s="533" t="n"/>
      <c r="H227" s="533" t="n"/>
    </row>
    <row r="228" ht="24" customHeight="1">
      <c r="A228" s="539" t="n"/>
      <c r="B228" s="539" t="n"/>
      <c r="C228" s="571" t="n"/>
      <c r="D228" s="533" t="n"/>
      <c r="E228" s="533" t="n"/>
      <c r="F228" s="533" t="n"/>
      <c r="G228" s="533" t="n"/>
      <c r="H228" s="533" t="n"/>
    </row>
    <row r="229" ht="24" customHeight="1">
      <c r="A229" s="539" t="n"/>
      <c r="B229" s="539" t="n"/>
      <c r="C229" s="571" t="n"/>
      <c r="D229" s="533" t="n"/>
      <c r="E229" s="533" t="n"/>
      <c r="F229" s="533" t="n"/>
      <c r="G229" s="533" t="n"/>
      <c r="H229" s="533" t="n"/>
    </row>
    <row r="230" ht="24" customHeight="1">
      <c r="A230" s="539" t="n"/>
      <c r="B230" s="539" t="n"/>
      <c r="C230" s="571" t="n"/>
      <c r="D230" s="533" t="n"/>
      <c r="E230" s="533" t="n"/>
      <c r="F230" s="533" t="n"/>
      <c r="G230" s="533" t="n"/>
      <c r="H230" s="533" t="n"/>
    </row>
    <row r="231" ht="24" customHeight="1">
      <c r="A231" s="539" t="n"/>
      <c r="B231" s="539" t="n"/>
      <c r="C231" s="571" t="n"/>
      <c r="D231" s="533" t="n"/>
      <c r="E231" s="533" t="n"/>
      <c r="F231" s="533" t="n"/>
      <c r="G231" s="533" t="n"/>
      <c r="H231" s="533" t="n"/>
    </row>
    <row r="232" ht="24" customHeight="1">
      <c r="A232" s="539" t="n"/>
      <c r="B232" s="539" t="n"/>
      <c r="C232" s="571" t="n"/>
      <c r="D232" s="533" t="n"/>
      <c r="E232" s="533" t="n"/>
      <c r="F232" s="533" t="n"/>
      <c r="G232" s="533" t="n"/>
      <c r="H232" s="533" t="n"/>
    </row>
    <row r="233" ht="24" customHeight="1">
      <c r="A233" s="539" t="n"/>
      <c r="B233" s="539" t="n"/>
      <c r="C233" s="571" t="n"/>
      <c r="D233" s="533" t="n"/>
      <c r="E233" s="533" t="n"/>
      <c r="F233" s="533" t="n"/>
      <c r="G233" s="533" t="n"/>
      <c r="H233" s="533" t="n"/>
    </row>
    <row r="234" ht="24" customHeight="1">
      <c r="A234" s="539" t="n"/>
      <c r="B234" s="539" t="n"/>
      <c r="C234" s="571" t="n"/>
      <c r="D234" s="533" t="n"/>
      <c r="E234" s="533" t="n"/>
      <c r="F234" s="533" t="n"/>
      <c r="G234" s="533" t="n"/>
      <c r="H234" s="533" t="n"/>
    </row>
    <row r="235" ht="24" customHeight="1">
      <c r="A235" s="539" t="n"/>
      <c r="B235" s="539" t="n"/>
      <c r="C235" s="571" t="n"/>
      <c r="D235" s="533" t="n"/>
      <c r="E235" s="533" t="n"/>
      <c r="F235" s="533" t="n"/>
      <c r="G235" s="533" t="n"/>
      <c r="H235" s="533" t="n"/>
    </row>
    <row r="236" ht="24" customHeight="1">
      <c r="A236" s="539" t="n"/>
      <c r="B236" s="539" t="n"/>
      <c r="C236" s="571" t="n"/>
      <c r="D236" s="533" t="n"/>
      <c r="E236" s="533" t="n"/>
      <c r="F236" s="533" t="n"/>
      <c r="G236" s="533" t="n"/>
      <c r="H236" s="533" t="n"/>
    </row>
    <row r="237" ht="24" customHeight="1">
      <c r="A237" s="539" t="n"/>
      <c r="B237" s="539" t="n"/>
      <c r="C237" s="571" t="n"/>
      <c r="D237" s="533" t="n"/>
      <c r="E237" s="533" t="n"/>
      <c r="F237" s="533" t="n"/>
      <c r="G237" s="533" t="n"/>
      <c r="H237" s="533" t="n"/>
    </row>
    <row r="238" ht="24" customHeight="1">
      <c r="A238" s="539" t="n"/>
      <c r="B238" s="539" t="n"/>
      <c r="C238" s="571" t="n"/>
      <c r="D238" s="533" t="n"/>
      <c r="E238" s="533" t="n"/>
      <c r="F238" s="533" t="n"/>
      <c r="G238" s="533" t="n"/>
      <c r="H238" s="533" t="n"/>
    </row>
    <row r="239" ht="24" customHeight="1">
      <c r="A239" s="539" t="n"/>
      <c r="B239" s="539" t="n"/>
      <c r="C239" s="571" t="n"/>
      <c r="D239" s="533" t="n"/>
      <c r="E239" s="533" t="n"/>
      <c r="F239" s="533" t="n"/>
      <c r="G239" s="533" t="n"/>
      <c r="H239" s="533" t="n"/>
    </row>
    <row r="240" ht="24" customHeight="1">
      <c r="A240" s="539" t="n"/>
      <c r="B240" s="539" t="n"/>
      <c r="C240" s="571" t="n"/>
      <c r="D240" s="533" t="n"/>
      <c r="E240" s="533" t="n"/>
      <c r="F240" s="533" t="n"/>
      <c r="G240" s="533" t="n"/>
      <c r="H240" s="533" t="n"/>
    </row>
    <row r="241" ht="24" customHeight="1">
      <c r="A241" s="539" t="n"/>
      <c r="B241" s="539" t="n"/>
      <c r="C241" s="571" t="n"/>
      <c r="D241" s="533" t="n"/>
      <c r="E241" s="533" t="n"/>
      <c r="F241" s="533" t="n"/>
      <c r="G241" s="533" t="n"/>
      <c r="H241" s="533" t="n"/>
    </row>
    <row r="242" ht="24" customHeight="1">
      <c r="A242" s="539" t="n"/>
      <c r="B242" s="539" t="n"/>
      <c r="C242" s="571" t="n"/>
      <c r="D242" s="533" t="n"/>
      <c r="E242" s="533" t="n"/>
      <c r="F242" s="533" t="n"/>
      <c r="G242" s="533" t="n"/>
      <c r="H242" s="533" t="n"/>
    </row>
    <row r="243" ht="24" customHeight="1">
      <c r="A243" s="539" t="n"/>
      <c r="B243" s="539" t="n"/>
      <c r="C243" s="571" t="n"/>
      <c r="D243" s="533" t="n"/>
      <c r="E243" s="533" t="n"/>
      <c r="F243" s="533" t="n"/>
      <c r="G243" s="533" t="n"/>
      <c r="H243" s="533" t="n"/>
    </row>
    <row r="244" ht="24" customHeight="1">
      <c r="A244" s="539" t="n"/>
      <c r="B244" s="539" t="n"/>
      <c r="C244" s="571" t="n"/>
      <c r="D244" s="533" t="n"/>
      <c r="E244" s="533" t="n"/>
      <c r="F244" s="533" t="n"/>
      <c r="G244" s="533" t="n"/>
      <c r="H244" s="533" t="n"/>
    </row>
    <row r="245" ht="24" customHeight="1">
      <c r="A245" s="539" t="n"/>
      <c r="B245" s="539" t="n"/>
      <c r="C245" s="571" t="n"/>
      <c r="D245" s="533" t="n"/>
      <c r="E245" s="533" t="n"/>
      <c r="F245" s="533" t="n"/>
      <c r="G245" s="533" t="n"/>
      <c r="H245" s="533" t="n"/>
    </row>
    <row r="246" ht="24" customHeight="1">
      <c r="A246" s="539" t="n"/>
      <c r="B246" s="539" t="n"/>
      <c r="C246" s="571" t="n"/>
      <c r="D246" s="533" t="n"/>
      <c r="E246" s="533" t="n"/>
      <c r="F246" s="533" t="n"/>
      <c r="G246" s="533" t="n"/>
      <c r="H246" s="533" t="n"/>
    </row>
    <row r="247" ht="24" customHeight="1">
      <c r="A247" s="539" t="n"/>
      <c r="B247" s="539" t="n"/>
      <c r="C247" s="571" t="n"/>
      <c r="D247" s="533" t="n"/>
      <c r="E247" s="533" t="n"/>
      <c r="F247" s="533" t="n"/>
      <c r="G247" s="533" t="n"/>
      <c r="H247" s="533" t="n"/>
    </row>
    <row r="248" ht="24" customHeight="1">
      <c r="A248" s="539" t="n"/>
      <c r="B248" s="539" t="n"/>
      <c r="C248" s="571" t="n"/>
      <c r="D248" s="533" t="n"/>
      <c r="E248" s="533" t="n"/>
      <c r="F248" s="533" t="n"/>
      <c r="G248" s="533" t="n"/>
      <c r="H248" s="533" t="n"/>
    </row>
    <row r="249" ht="24" customHeight="1">
      <c r="A249" s="539" t="n"/>
      <c r="B249" s="539" t="n"/>
      <c r="C249" s="571" t="n"/>
      <c r="D249" s="533" t="n"/>
      <c r="E249" s="533" t="n"/>
      <c r="F249" s="533" t="n"/>
      <c r="G249" s="533" t="n"/>
      <c r="H249" s="533" t="n"/>
    </row>
    <row r="250" ht="24" customHeight="1">
      <c r="A250" s="539" t="n"/>
      <c r="B250" s="539" t="n"/>
      <c r="C250" s="571" t="n"/>
      <c r="D250" s="533" t="n"/>
      <c r="E250" s="533" t="n"/>
      <c r="F250" s="533" t="n"/>
      <c r="G250" s="533" t="n"/>
      <c r="H250" s="533" t="n"/>
    </row>
    <row r="251" ht="24" customHeight="1">
      <c r="A251" s="539" t="n"/>
      <c r="B251" s="539" t="n"/>
      <c r="C251" s="571" t="n"/>
      <c r="D251" s="533" t="n"/>
      <c r="E251" s="533" t="n"/>
      <c r="F251" s="533" t="n"/>
      <c r="G251" s="533" t="n"/>
      <c r="H251" s="533" t="n"/>
    </row>
    <row r="252" ht="24" customHeight="1">
      <c r="A252" s="539" t="n"/>
      <c r="B252" s="539" t="n"/>
      <c r="C252" s="571" t="n"/>
      <c r="D252" s="533" t="n"/>
      <c r="E252" s="533" t="n"/>
      <c r="F252" s="533" t="n"/>
      <c r="G252" s="533" t="n"/>
      <c r="H252" s="533" t="n"/>
    </row>
    <row r="253" ht="24" customHeight="1">
      <c r="A253" s="539" t="n"/>
      <c r="B253" s="539" t="n"/>
      <c r="C253" s="571" t="n"/>
      <c r="D253" s="533" t="n"/>
      <c r="E253" s="533" t="n"/>
      <c r="F253" s="533" t="n"/>
      <c r="G253" s="533" t="n"/>
      <c r="H253" s="533" t="n"/>
    </row>
    <row r="254" ht="24" customHeight="1">
      <c r="A254" s="539" t="n"/>
      <c r="B254" s="539" t="n"/>
      <c r="C254" s="571" t="n"/>
      <c r="D254" s="533" t="n"/>
      <c r="E254" s="533" t="n"/>
      <c r="F254" s="533" t="n"/>
      <c r="G254" s="533" t="n"/>
      <c r="H254" s="533" t="n"/>
    </row>
    <row r="255" ht="24" customHeight="1">
      <c r="A255" s="539" t="n"/>
      <c r="B255" s="539" t="n"/>
      <c r="C255" s="571" t="n"/>
      <c r="D255" s="533" t="n"/>
      <c r="E255" s="533" t="n"/>
      <c r="F255" s="533" t="n"/>
      <c r="G255" s="533" t="n"/>
      <c r="H255" s="533" t="n"/>
    </row>
    <row r="256" ht="24" customHeight="1">
      <c r="A256" s="539" t="n"/>
      <c r="B256" s="539" t="n"/>
      <c r="C256" s="571" t="n"/>
      <c r="D256" s="533" t="n"/>
      <c r="E256" s="533" t="n"/>
      <c r="F256" s="533" t="n"/>
      <c r="G256" s="533" t="n"/>
      <c r="H256" s="533" t="n"/>
    </row>
    <row r="257" ht="24" customHeight="1">
      <c r="A257" s="539" t="n"/>
      <c r="B257" s="539" t="n"/>
      <c r="C257" s="571" t="n"/>
      <c r="D257" s="533" t="n"/>
      <c r="E257" s="533" t="n"/>
      <c r="F257" s="533" t="n"/>
      <c r="G257" s="533" t="n"/>
      <c r="H257" s="533" t="n"/>
    </row>
    <row r="258" ht="24" customHeight="1">
      <c r="A258" s="539" t="n"/>
      <c r="B258" s="539" t="n"/>
      <c r="C258" s="571" t="n"/>
      <c r="D258" s="533" t="n"/>
      <c r="E258" s="533" t="n"/>
      <c r="F258" s="533" t="n"/>
      <c r="G258" s="533" t="n"/>
      <c r="H258" s="533" t="n"/>
    </row>
    <row r="259" ht="24" customHeight="1">
      <c r="A259" s="539" t="n"/>
      <c r="B259" s="539" t="n"/>
      <c r="C259" s="571" t="n"/>
      <c r="D259" s="533" t="n"/>
      <c r="E259" s="533" t="n"/>
      <c r="F259" s="533" t="n"/>
      <c r="G259" s="533" t="n"/>
      <c r="H259" s="533" t="n"/>
    </row>
    <row r="260" ht="24" customHeight="1">
      <c r="A260" s="539" t="n"/>
      <c r="B260" s="539" t="n"/>
      <c r="C260" s="571" t="n"/>
      <c r="D260" s="533" t="n"/>
      <c r="E260" s="533" t="n"/>
      <c r="F260" s="533" t="n"/>
      <c r="G260" s="533" t="n"/>
      <c r="H260" s="533" t="n"/>
    </row>
    <row r="261" ht="24" customHeight="1">
      <c r="A261" s="539" t="n"/>
      <c r="B261" s="539" t="n"/>
      <c r="C261" s="571" t="n"/>
      <c r="D261" s="533" t="n"/>
      <c r="E261" s="533" t="n"/>
      <c r="F261" s="533" t="n"/>
      <c r="G261" s="533" t="n"/>
      <c r="H261" s="533" t="n"/>
    </row>
    <row r="262" ht="24" customHeight="1">
      <c r="A262" s="539" t="n"/>
      <c r="B262" s="539" t="n"/>
      <c r="C262" s="571" t="n"/>
      <c r="D262" s="533" t="n"/>
      <c r="E262" s="533" t="n"/>
      <c r="F262" s="533" t="n"/>
      <c r="G262" s="533" t="n"/>
      <c r="H262" s="533" t="n"/>
    </row>
    <row r="263" ht="24" customHeight="1">
      <c r="A263" s="539" t="n"/>
      <c r="B263" s="539" t="n"/>
      <c r="C263" s="571" t="n"/>
      <c r="D263" s="533" t="n"/>
      <c r="E263" s="533" t="n"/>
      <c r="F263" s="533" t="n"/>
      <c r="G263" s="533" t="n"/>
      <c r="H263" s="533" t="n"/>
    </row>
    <row r="264" ht="24" customHeight="1">
      <c r="A264" s="539" t="n"/>
      <c r="B264" s="539" t="n"/>
      <c r="C264" s="571" t="n"/>
      <c r="D264" s="533" t="n"/>
      <c r="E264" s="533" t="n"/>
      <c r="F264" s="533" t="n"/>
      <c r="G264" s="533" t="n"/>
      <c r="H264" s="533" t="n"/>
    </row>
    <row r="265" ht="24" customHeight="1">
      <c r="A265" s="539" t="n"/>
      <c r="B265" s="539" t="n"/>
      <c r="C265" s="571" t="n"/>
      <c r="D265" s="533" t="n"/>
      <c r="E265" s="533" t="n"/>
      <c r="F265" s="533" t="n"/>
      <c r="G265" s="533" t="n"/>
      <c r="H265" s="533" t="n"/>
    </row>
    <row r="266" ht="24" customHeight="1">
      <c r="A266" s="539" t="n"/>
      <c r="B266" s="539" t="n"/>
      <c r="C266" s="571" t="n"/>
      <c r="D266" s="533" t="n"/>
      <c r="E266" s="533" t="n"/>
      <c r="F266" s="533" t="n"/>
      <c r="G266" s="533" t="n"/>
      <c r="H266" s="533" t="n"/>
    </row>
    <row r="267" ht="24" customHeight="1">
      <c r="A267" s="539" t="n"/>
      <c r="B267" s="539" t="n"/>
      <c r="C267" s="571" t="n"/>
      <c r="D267" s="533" t="n"/>
      <c r="E267" s="533" t="n"/>
      <c r="F267" s="533" t="n"/>
      <c r="G267" s="533" t="n"/>
      <c r="H267" s="533" t="n"/>
    </row>
    <row r="268" ht="24" customHeight="1">
      <c r="A268" s="539" t="n"/>
      <c r="B268" s="539" t="n"/>
      <c r="C268" s="571" t="n"/>
      <c r="D268" s="533" t="n"/>
      <c r="E268" s="533" t="n"/>
      <c r="F268" s="533" t="n"/>
      <c r="G268" s="533" t="n"/>
      <c r="H268" s="533" t="n"/>
    </row>
    <row r="269" ht="24" customHeight="1">
      <c r="A269" s="539" t="n"/>
      <c r="B269" s="539" t="n"/>
      <c r="C269" s="571" t="n"/>
      <c r="D269" s="533" t="n"/>
      <c r="E269" s="533" t="n"/>
      <c r="F269" s="533" t="n"/>
      <c r="G269" s="533" t="n"/>
      <c r="H269" s="533" t="n"/>
    </row>
    <row r="270" ht="24" customHeight="1">
      <c r="A270" s="539" t="n"/>
      <c r="B270" s="539" t="n"/>
      <c r="C270" s="571" t="n"/>
      <c r="D270" s="533" t="n"/>
      <c r="E270" s="533" t="n"/>
      <c r="F270" s="533" t="n"/>
      <c r="G270" s="533" t="n"/>
      <c r="H270" s="533" t="n"/>
    </row>
    <row r="271" ht="24" customHeight="1">
      <c r="A271" s="539" t="n"/>
      <c r="B271" s="539" t="n"/>
      <c r="C271" s="571" t="n"/>
      <c r="D271" s="533" t="n"/>
      <c r="E271" s="533" t="n"/>
      <c r="F271" s="533" t="n"/>
      <c r="G271" s="533" t="n"/>
      <c r="H271" s="533" t="n"/>
    </row>
    <row r="272" ht="24" customHeight="1">
      <c r="A272" s="539" t="n"/>
      <c r="B272" s="539" t="n"/>
      <c r="C272" s="571" t="n"/>
      <c r="D272" s="533" t="n"/>
      <c r="E272" s="533" t="n"/>
      <c r="F272" s="533" t="n"/>
      <c r="G272" s="533" t="n"/>
      <c r="H272" s="533" t="n"/>
    </row>
    <row r="273" ht="24" customHeight="1">
      <c r="A273" s="539" t="n"/>
      <c r="B273" s="539" t="n"/>
      <c r="C273" s="571" t="n"/>
      <c r="D273" s="533" t="n"/>
      <c r="E273" s="533" t="n"/>
      <c r="F273" s="533" t="n"/>
      <c r="G273" s="533" t="n"/>
      <c r="H273" s="533" t="n"/>
    </row>
    <row r="274" ht="24" customHeight="1">
      <c r="A274" s="539" t="n"/>
      <c r="B274" s="539" t="n"/>
      <c r="C274" s="571" t="n"/>
      <c r="D274" s="533" t="n"/>
      <c r="E274" s="533" t="n"/>
      <c r="F274" s="533" t="n"/>
      <c r="G274" s="533" t="n"/>
      <c r="H274" s="533" t="n"/>
    </row>
    <row r="275" ht="24" customHeight="1">
      <c r="A275" s="539" t="n"/>
      <c r="B275" s="539" t="n"/>
      <c r="C275" s="571" t="n"/>
      <c r="D275" s="533" t="n"/>
      <c r="E275" s="533" t="n"/>
      <c r="F275" s="533" t="n"/>
      <c r="G275" s="533" t="n"/>
      <c r="H275" s="533" t="n"/>
    </row>
    <row r="276" ht="24" customHeight="1">
      <c r="A276" s="539" t="n"/>
      <c r="B276" s="539" t="n"/>
      <c r="C276" s="571" t="n"/>
      <c r="D276" s="533" t="n"/>
      <c r="E276" s="533" t="n"/>
      <c r="F276" s="533" t="n"/>
      <c r="G276" s="533" t="n"/>
      <c r="H276" s="533" t="n"/>
    </row>
    <row r="277" ht="24" customHeight="1">
      <c r="A277" s="539" t="n"/>
      <c r="B277" s="539" t="n"/>
      <c r="C277" s="571" t="n"/>
      <c r="D277" s="533" t="n"/>
      <c r="E277" s="533" t="n"/>
      <c r="F277" s="533" t="n"/>
      <c r="G277" s="533" t="n"/>
      <c r="H277" s="533" t="n"/>
    </row>
    <row r="278" ht="24" customHeight="1">
      <c r="A278" s="539" t="n"/>
      <c r="B278" s="539" t="n"/>
      <c r="C278" s="571" t="n"/>
      <c r="D278" s="533" t="n"/>
      <c r="E278" s="533" t="n"/>
      <c r="F278" s="533" t="n"/>
      <c r="G278" s="533" t="n"/>
      <c r="H278" s="533" t="n"/>
    </row>
    <row r="279" ht="24" customHeight="1">
      <c r="A279" s="539" t="n"/>
      <c r="B279" s="539" t="n"/>
      <c r="C279" s="571" t="n"/>
      <c r="D279" s="533" t="n"/>
      <c r="E279" s="533" t="n"/>
      <c r="F279" s="533" t="n"/>
      <c r="G279" s="533" t="n"/>
      <c r="H279" s="533" t="n"/>
    </row>
    <row r="280" ht="24" customHeight="1">
      <c r="A280" s="539" t="n"/>
      <c r="B280" s="539" t="n"/>
      <c r="C280" s="571" t="n"/>
      <c r="D280" s="533" t="n"/>
      <c r="E280" s="533" t="n"/>
      <c r="F280" s="533" t="n"/>
      <c r="G280" s="533" t="n"/>
      <c r="H280" s="533" t="n"/>
    </row>
    <row r="281" ht="24" customHeight="1">
      <c r="A281" s="539" t="n"/>
      <c r="B281" s="539" t="n"/>
      <c r="C281" s="571" t="n"/>
      <c r="D281" s="533" t="n"/>
      <c r="E281" s="533" t="n"/>
      <c r="F281" s="533" t="n"/>
      <c r="G281" s="533" t="n"/>
      <c r="H281" s="533" t="n"/>
    </row>
    <row r="282" ht="24" customHeight="1">
      <c r="A282" s="539" t="n"/>
      <c r="B282" s="539" t="n"/>
      <c r="C282" s="571" t="n"/>
      <c r="D282" s="533" t="n"/>
      <c r="E282" s="533" t="n"/>
      <c r="F282" s="533" t="n"/>
      <c r="G282" s="533" t="n"/>
      <c r="H282" s="533" t="n"/>
    </row>
    <row r="283" ht="24" customHeight="1">
      <c r="A283" s="539" t="n"/>
      <c r="B283" s="539" t="n"/>
      <c r="C283" s="571" t="n"/>
      <c r="D283" s="533" t="n"/>
      <c r="E283" s="533" t="n"/>
      <c r="F283" s="533" t="n"/>
      <c r="G283" s="533" t="n"/>
      <c r="H283" s="533" t="n"/>
    </row>
    <row r="284" ht="24" customHeight="1">
      <c r="A284" s="539" t="n"/>
      <c r="B284" s="539" t="n"/>
      <c r="C284" s="571" t="n"/>
      <c r="D284" s="533" t="n"/>
      <c r="E284" s="533" t="n"/>
      <c r="F284" s="533" t="n"/>
      <c r="G284" s="533" t="n"/>
      <c r="H284" s="533" t="n"/>
    </row>
    <row r="285" ht="24" customHeight="1">
      <c r="A285" s="539" t="n"/>
      <c r="B285" s="539" t="n"/>
      <c r="C285" s="571" t="n"/>
      <c r="D285" s="533" t="n"/>
      <c r="E285" s="533" t="n"/>
      <c r="F285" s="533" t="n"/>
      <c r="G285" s="533" t="n"/>
      <c r="H285" s="533" t="n"/>
    </row>
    <row r="286" ht="24" customHeight="1">
      <c r="A286" s="539" t="n"/>
      <c r="B286" s="539" t="n"/>
      <c r="C286" s="571" t="n"/>
      <c r="D286" s="533" t="n"/>
      <c r="E286" s="533" t="n"/>
      <c r="F286" s="533" t="n"/>
      <c r="G286" s="533" t="n"/>
      <c r="H286" s="533" t="n"/>
    </row>
    <row r="287" ht="24" customHeight="1">
      <c r="A287" s="539" t="n"/>
      <c r="B287" s="539" t="n"/>
      <c r="C287" s="571" t="n"/>
      <c r="D287" s="533" t="n"/>
      <c r="E287" s="533" t="n"/>
      <c r="F287" s="533" t="n"/>
      <c r="G287" s="533" t="n"/>
      <c r="H287" s="533" t="n"/>
    </row>
    <row r="288" ht="24" customHeight="1">
      <c r="A288" s="539" t="n"/>
      <c r="B288" s="539" t="n"/>
      <c r="C288" s="571" t="n"/>
      <c r="D288" s="533" t="n"/>
      <c r="E288" s="533" t="n"/>
      <c r="F288" s="533" t="n"/>
      <c r="G288" s="533" t="n"/>
      <c r="H288" s="533" t="n"/>
    </row>
    <row r="289" ht="24" customHeight="1">
      <c r="A289" s="539" t="n"/>
      <c r="B289" s="539" t="n"/>
      <c r="C289" s="571" t="n"/>
      <c r="D289" s="533" t="n"/>
      <c r="E289" s="533" t="n"/>
      <c r="F289" s="533" t="n"/>
      <c r="G289" s="533" t="n"/>
      <c r="H289" s="533" t="n"/>
    </row>
    <row r="290" ht="24" customHeight="1">
      <c r="A290" s="539" t="n"/>
      <c r="B290" s="539" t="n"/>
      <c r="C290" s="571" t="n"/>
      <c r="D290" s="533" t="n"/>
      <c r="E290" s="533" t="n"/>
      <c r="F290" s="533" t="n"/>
      <c r="G290" s="533" t="n"/>
      <c r="H290" s="533" t="n"/>
    </row>
    <row r="291" ht="24" customHeight="1">
      <c r="A291" s="539" t="n"/>
      <c r="B291" s="539" t="n"/>
      <c r="C291" s="571" t="n"/>
      <c r="D291" s="533" t="n"/>
      <c r="E291" s="533" t="n"/>
      <c r="F291" s="533" t="n"/>
      <c r="G291" s="533" t="n"/>
      <c r="H291" s="533" t="n"/>
    </row>
    <row r="292" ht="24" customHeight="1">
      <c r="A292" s="539" t="n"/>
      <c r="B292" s="539" t="n"/>
      <c r="C292" s="571" t="n"/>
      <c r="D292" s="533" t="n"/>
      <c r="E292" s="533" t="n"/>
      <c r="F292" s="533" t="n"/>
      <c r="G292" s="533" t="n"/>
      <c r="H292" s="533" t="n"/>
    </row>
    <row r="293" ht="24" customHeight="1">
      <c r="A293" s="539" t="n"/>
      <c r="B293" s="539" t="n"/>
      <c r="C293" s="571" t="n"/>
      <c r="D293" s="533" t="n"/>
      <c r="E293" s="533" t="n"/>
      <c r="F293" s="533" t="n"/>
      <c r="G293" s="533" t="n"/>
      <c r="H293" s="533" t="n"/>
    </row>
    <row r="294" ht="24" customHeight="1">
      <c r="A294" s="539" t="n"/>
      <c r="B294" s="539" t="n"/>
      <c r="C294" s="571" t="n"/>
      <c r="D294" s="533" t="n"/>
      <c r="E294" s="533" t="n"/>
      <c r="F294" s="533" t="n"/>
      <c r="G294" s="533" t="n"/>
      <c r="H294" s="533" t="n"/>
    </row>
    <row r="295" ht="24" customHeight="1">
      <c r="A295" s="539" t="n"/>
      <c r="B295" s="539" t="n"/>
      <c r="C295" s="571" t="n"/>
      <c r="D295" s="533" t="n"/>
      <c r="E295" s="533" t="n"/>
      <c r="F295" s="533" t="n"/>
      <c r="G295" s="533" t="n"/>
      <c r="H295" s="533" t="n"/>
    </row>
    <row r="296" ht="24" customHeight="1">
      <c r="A296" s="539" t="n"/>
      <c r="B296" s="539" t="n"/>
      <c r="C296" s="571" t="n"/>
      <c r="D296" s="533" t="n"/>
      <c r="E296" s="533" t="n"/>
      <c r="F296" s="533" t="n"/>
      <c r="G296" s="533" t="n"/>
      <c r="H296" s="533" t="n"/>
    </row>
    <row r="297" ht="24" customHeight="1">
      <c r="A297" s="539" t="n"/>
      <c r="B297" s="539" t="n"/>
      <c r="C297" s="571" t="n"/>
      <c r="D297" s="533" t="n"/>
      <c r="E297" s="533" t="n"/>
      <c r="F297" s="533" t="n"/>
      <c r="G297" s="533" t="n"/>
      <c r="H297" s="533" t="n"/>
    </row>
    <row r="298" ht="24" customHeight="1">
      <c r="A298" s="539" t="n"/>
      <c r="B298" s="539" t="n"/>
      <c r="C298" s="571" t="n"/>
      <c r="D298" s="533" t="n"/>
      <c r="E298" s="533" t="n"/>
      <c r="F298" s="533" t="n"/>
      <c r="G298" s="533" t="n"/>
      <c r="H298" s="533" t="n"/>
    </row>
    <row r="299" ht="24" customHeight="1">
      <c r="A299" s="539" t="n"/>
      <c r="B299" s="539" t="n"/>
      <c r="C299" s="571" t="n"/>
      <c r="D299" s="533" t="n"/>
      <c r="E299" s="533" t="n"/>
      <c r="F299" s="533" t="n"/>
      <c r="G299" s="533" t="n"/>
      <c r="H299" s="533" t="n"/>
    </row>
    <row r="300" ht="24" customHeight="1">
      <c r="A300" s="539" t="n"/>
      <c r="B300" s="539" t="n"/>
      <c r="C300" s="571" t="n"/>
      <c r="D300" s="533" t="n"/>
      <c r="E300" s="533" t="n"/>
      <c r="F300" s="533" t="n"/>
      <c r="G300" s="533" t="n"/>
      <c r="H300" s="533" t="n"/>
    </row>
    <row r="301" ht="24" customHeight="1">
      <c r="A301" s="539" t="n"/>
      <c r="B301" s="539" t="n"/>
      <c r="C301" s="571" t="n"/>
      <c r="D301" s="533" t="n"/>
      <c r="E301" s="533" t="n"/>
      <c r="F301" s="533" t="n"/>
      <c r="G301" s="533" t="n"/>
      <c r="H301" s="533" t="n"/>
    </row>
    <row r="302" ht="24" customHeight="1">
      <c r="A302" s="539" t="n"/>
      <c r="B302" s="539" t="n"/>
      <c r="C302" s="571" t="n"/>
      <c r="D302" s="533" t="n"/>
      <c r="E302" s="533" t="n"/>
      <c r="F302" s="533" t="n"/>
      <c r="G302" s="533" t="n"/>
      <c r="H302" s="533" t="n"/>
    </row>
    <row r="303" ht="24" customHeight="1">
      <c r="A303" s="539" t="n"/>
      <c r="B303" s="539" t="n"/>
      <c r="C303" s="571" t="n"/>
      <c r="D303" s="533" t="n"/>
      <c r="E303" s="533" t="n"/>
      <c r="F303" s="533" t="n"/>
      <c r="G303" s="533" t="n"/>
      <c r="H303" s="533" t="n"/>
    </row>
    <row r="304" ht="24" customHeight="1">
      <c r="A304" s="539" t="n"/>
      <c r="B304" s="539" t="n"/>
      <c r="C304" s="571" t="n"/>
      <c r="D304" s="533" t="n"/>
      <c r="E304" s="533" t="n"/>
      <c r="F304" s="533" t="n"/>
      <c r="G304" s="533" t="n"/>
      <c r="H304" s="533" t="n"/>
    </row>
    <row r="305" ht="24" customHeight="1">
      <c r="A305" s="539" t="n"/>
      <c r="B305" s="539" t="n"/>
      <c r="C305" s="571" t="n"/>
      <c r="D305" s="533" t="n"/>
      <c r="E305" s="533" t="n"/>
      <c r="F305" s="533" t="n"/>
      <c r="G305" s="533" t="n"/>
      <c r="H305" s="533" t="n"/>
    </row>
    <row r="306" ht="24" customHeight="1">
      <c r="A306" s="539" t="n"/>
      <c r="B306" s="539" t="n"/>
      <c r="C306" s="571" t="n"/>
      <c r="D306" s="533" t="n"/>
      <c r="E306" s="533" t="n"/>
      <c r="F306" s="533" t="n"/>
      <c r="G306" s="533" t="n"/>
      <c r="H306" s="533" t="n"/>
    </row>
    <row r="307" ht="24" customHeight="1">
      <c r="A307" s="539" t="n"/>
      <c r="B307" s="539" t="n"/>
      <c r="C307" s="571" t="n"/>
      <c r="D307" s="533" t="n"/>
      <c r="E307" s="533" t="n"/>
      <c r="F307" s="533" t="n"/>
      <c r="G307" s="533" t="n"/>
      <c r="H307" s="533" t="n"/>
    </row>
    <row r="308" ht="24" customHeight="1">
      <c r="A308" s="539" t="n"/>
      <c r="B308" s="539" t="n"/>
      <c r="C308" s="571" t="n"/>
      <c r="D308" s="533" t="n"/>
      <c r="E308" s="533" t="n"/>
      <c r="F308" s="533" t="n"/>
      <c r="G308" s="533" t="n"/>
      <c r="H308" s="533" t="n"/>
    </row>
    <row r="309" ht="24" customHeight="1">
      <c r="A309" s="539" t="n"/>
      <c r="B309" s="539" t="n"/>
      <c r="C309" s="571" t="n"/>
      <c r="D309" s="533" t="n"/>
      <c r="E309" s="533" t="n"/>
      <c r="F309" s="533" t="n"/>
      <c r="G309" s="533" t="n"/>
      <c r="H309" s="533" t="n"/>
    </row>
    <row r="310" ht="24" customHeight="1">
      <c r="A310" s="539" t="n"/>
      <c r="B310" s="539" t="n"/>
      <c r="C310" s="571" t="n"/>
      <c r="D310" s="533" t="n"/>
      <c r="E310" s="533" t="n"/>
      <c r="F310" s="533" t="n"/>
      <c r="G310" s="533" t="n"/>
      <c r="H310" s="533" t="n"/>
    </row>
    <row r="311" ht="24" customHeight="1">
      <c r="A311" s="539" t="n"/>
      <c r="B311" s="539" t="n"/>
      <c r="C311" s="571" t="n"/>
      <c r="D311" s="533" t="n"/>
      <c r="E311" s="533" t="n"/>
      <c r="F311" s="533" t="n"/>
      <c r="G311" s="533" t="n"/>
      <c r="H311" s="533" t="n"/>
    </row>
    <row r="312" ht="24" customHeight="1">
      <c r="A312" s="539" t="n"/>
      <c r="B312" s="539" t="n"/>
      <c r="C312" s="571" t="n"/>
      <c r="D312" s="533" t="n"/>
      <c r="E312" s="533" t="n"/>
      <c r="F312" s="533" t="n"/>
      <c r="G312" s="533" t="n"/>
      <c r="H312" s="533" t="n"/>
    </row>
    <row r="313" ht="24" customHeight="1">
      <c r="A313" s="539" t="n"/>
      <c r="B313" s="539" t="n"/>
      <c r="C313" s="571" t="n"/>
      <c r="D313" s="533" t="n"/>
      <c r="E313" s="533" t="n"/>
      <c r="F313" s="533" t="n"/>
      <c r="G313" s="533" t="n"/>
      <c r="H313" s="533" t="n"/>
    </row>
    <row r="314" ht="24" customHeight="1">
      <c r="A314" s="539" t="n"/>
      <c r="B314" s="539" t="n"/>
      <c r="C314" s="571" t="n"/>
      <c r="D314" s="533" t="n"/>
      <c r="E314" s="533" t="n"/>
      <c r="F314" s="533" t="n"/>
      <c r="G314" s="533" t="n"/>
      <c r="H314" s="533" t="n"/>
    </row>
    <row r="315" ht="24" customHeight="1">
      <c r="A315" s="539" t="n"/>
      <c r="B315" s="539" t="n"/>
      <c r="C315" s="571" t="n"/>
      <c r="D315" s="533" t="n"/>
      <c r="E315" s="533" t="n"/>
      <c r="F315" s="533" t="n"/>
      <c r="G315" s="533" t="n"/>
      <c r="H315" s="533" t="n"/>
    </row>
    <row r="316" ht="24" customHeight="1">
      <c r="A316" s="539" t="n"/>
      <c r="B316" s="539" t="n"/>
      <c r="C316" s="571" t="n"/>
      <c r="D316" s="533" t="n"/>
      <c r="E316" s="533" t="n"/>
      <c r="F316" s="533" t="n"/>
      <c r="G316" s="533" t="n"/>
      <c r="H316" s="533" t="n"/>
    </row>
    <row r="317" ht="24" customHeight="1">
      <c r="A317" s="539" t="n"/>
      <c r="B317" s="539" t="n"/>
      <c r="C317" s="571" t="n"/>
      <c r="D317" s="533" t="n"/>
      <c r="E317" s="533" t="n"/>
      <c r="F317" s="533" t="n"/>
      <c r="G317" s="533" t="n"/>
      <c r="H317" s="533" t="n"/>
    </row>
    <row r="318" ht="24" customHeight="1">
      <c r="A318" s="539" t="n"/>
      <c r="B318" s="539" t="n"/>
      <c r="C318" s="571" t="n"/>
      <c r="D318" s="533" t="n"/>
      <c r="E318" s="533" t="n"/>
      <c r="F318" s="533" t="n"/>
      <c r="G318" s="533" t="n"/>
      <c r="H318" s="533" t="n"/>
    </row>
    <row r="319" ht="24" customHeight="1">
      <c r="A319" s="539" t="n"/>
      <c r="B319" s="539" t="n"/>
      <c r="C319" s="571" t="n"/>
      <c r="D319" s="533" t="n"/>
      <c r="E319" s="533" t="n"/>
      <c r="F319" s="533" t="n"/>
      <c r="G319" s="533" t="n"/>
      <c r="H319" s="533" t="n"/>
    </row>
    <row r="320" ht="24" customHeight="1">
      <c r="A320" s="539" t="n"/>
      <c r="B320" s="539" t="n"/>
      <c r="C320" s="571" t="n"/>
      <c r="D320" s="533" t="n"/>
      <c r="E320" s="533" t="n"/>
      <c r="F320" s="533" t="n"/>
      <c r="G320" s="533" t="n"/>
      <c r="H320" s="533" t="n"/>
    </row>
    <row r="321" ht="24" customHeight="1">
      <c r="A321" s="539" t="n"/>
      <c r="B321" s="539" t="n"/>
      <c r="C321" s="571" t="n"/>
      <c r="D321" s="533" t="n"/>
      <c r="E321" s="533" t="n"/>
      <c r="F321" s="533" t="n"/>
      <c r="G321" s="533" t="n"/>
      <c r="H321" s="533" t="n"/>
    </row>
    <row r="322" ht="24" customHeight="1">
      <c r="A322" s="539" t="n"/>
      <c r="B322" s="539" t="n"/>
      <c r="C322" s="571" t="n"/>
      <c r="D322" s="533" t="n"/>
      <c r="E322" s="533" t="n"/>
      <c r="F322" s="533" t="n"/>
      <c r="G322" s="533" t="n"/>
      <c r="H322" s="533" t="n"/>
    </row>
    <row r="323" ht="24" customHeight="1">
      <c r="A323" s="539" t="n"/>
      <c r="B323" s="539" t="n"/>
      <c r="C323" s="571" t="n"/>
      <c r="D323" s="533" t="n"/>
      <c r="E323" s="533" t="n"/>
      <c r="F323" s="533" t="n"/>
      <c r="G323" s="533" t="n"/>
      <c r="H323" s="533" t="n"/>
    </row>
    <row r="324" ht="24" customHeight="1">
      <c r="A324" s="539" t="n"/>
      <c r="B324" s="539" t="n"/>
      <c r="C324" s="571" t="n"/>
      <c r="D324" s="533" t="n"/>
      <c r="E324" s="533" t="n"/>
      <c r="F324" s="533" t="n"/>
      <c r="G324" s="533" t="n"/>
      <c r="H324" s="533" t="n"/>
    </row>
    <row r="325" ht="24" customHeight="1">
      <c r="A325" s="539" t="n"/>
      <c r="B325" s="539" t="n"/>
      <c r="C325" s="571" t="n"/>
      <c r="D325" s="533" t="n"/>
      <c r="E325" s="533" t="n"/>
      <c r="F325" s="533" t="n"/>
      <c r="G325" s="533" t="n"/>
      <c r="H325" s="533" t="n"/>
    </row>
    <row r="326" ht="24" customHeight="1">
      <c r="A326" s="539" t="n"/>
      <c r="B326" s="539" t="n"/>
      <c r="C326" s="571" t="n"/>
      <c r="D326" s="533" t="n"/>
      <c r="E326" s="533" t="n"/>
      <c r="F326" s="533" t="n"/>
      <c r="G326" s="533" t="n"/>
      <c r="H326" s="533" t="n"/>
    </row>
    <row r="327" ht="24" customHeight="1">
      <c r="A327" s="539" t="n"/>
      <c r="B327" s="539" t="n"/>
      <c r="C327" s="571" t="n"/>
      <c r="D327" s="533" t="n"/>
      <c r="E327" s="533" t="n"/>
      <c r="F327" s="533" t="n"/>
      <c r="G327" s="533" t="n"/>
      <c r="H327" s="533" t="n"/>
    </row>
    <row r="328" ht="24" customHeight="1">
      <c r="A328" s="539" t="n"/>
      <c r="B328" s="539" t="n"/>
      <c r="C328" s="571" t="n"/>
      <c r="D328" s="533" t="n"/>
      <c r="E328" s="533" t="n"/>
      <c r="F328" s="533" t="n"/>
      <c r="G328" s="533" t="n"/>
      <c r="H328" s="533" t="n"/>
    </row>
    <row r="329" ht="24" customHeight="1">
      <c r="A329" s="539" t="n"/>
      <c r="B329" s="539" t="n"/>
      <c r="C329" s="571" t="n"/>
      <c r="D329" s="533" t="n"/>
      <c r="E329" s="533" t="n"/>
      <c r="F329" s="533" t="n"/>
      <c r="G329" s="533" t="n"/>
      <c r="H329" s="533" t="n"/>
    </row>
    <row r="330" ht="24" customHeight="1">
      <c r="A330" s="539" t="n"/>
      <c r="B330" s="539" t="n"/>
      <c r="C330" s="571" t="n"/>
      <c r="D330" s="533" t="n"/>
      <c r="E330" s="533" t="n"/>
      <c r="F330" s="533" t="n"/>
      <c r="G330" s="533" t="n"/>
      <c r="H330" s="533" t="n"/>
    </row>
    <row r="331" ht="24" customHeight="1">
      <c r="A331" s="539" t="n"/>
      <c r="B331" s="539" t="n"/>
      <c r="C331" s="571" t="n"/>
      <c r="D331" s="533" t="n"/>
      <c r="E331" s="533" t="n"/>
      <c r="F331" s="533" t="n"/>
      <c r="G331" s="533" t="n"/>
      <c r="H331" s="533" t="n"/>
    </row>
    <row r="332" ht="24" customHeight="1">
      <c r="A332" s="539" t="n"/>
      <c r="B332" s="539" t="n"/>
      <c r="C332" s="571" t="n"/>
      <c r="D332" s="533" t="n"/>
      <c r="E332" s="533" t="n"/>
      <c r="F332" s="533" t="n"/>
      <c r="G332" s="533" t="n"/>
      <c r="H332" s="533" t="n"/>
    </row>
    <row r="333" ht="24" customHeight="1">
      <c r="A333" s="539" t="n"/>
      <c r="B333" s="539" t="n"/>
      <c r="C333" s="571" t="n"/>
      <c r="D333" s="533" t="n"/>
      <c r="E333" s="533" t="n"/>
      <c r="F333" s="533" t="n"/>
      <c r="G333" s="533" t="n"/>
      <c r="H333" s="533" t="n"/>
    </row>
    <row r="334" ht="24" customHeight="1">
      <c r="A334" s="539" t="n"/>
      <c r="B334" s="539" t="n"/>
      <c r="C334" s="571" t="n"/>
      <c r="D334" s="533" t="n"/>
      <c r="E334" s="533" t="n"/>
      <c r="F334" s="533" t="n"/>
      <c r="G334" s="533" t="n"/>
      <c r="H334" s="533" t="n"/>
    </row>
    <row r="335" ht="24" customHeight="1">
      <c r="A335" s="539" t="n"/>
      <c r="B335" s="539" t="n"/>
      <c r="C335" s="571" t="n"/>
      <c r="D335" s="533" t="n"/>
      <c r="E335" s="533" t="n"/>
      <c r="F335" s="533" t="n"/>
      <c r="G335" s="533" t="n"/>
      <c r="H335" s="533" t="n"/>
    </row>
    <row r="336" ht="24" customHeight="1">
      <c r="A336" s="539" t="n"/>
      <c r="B336" s="539" t="n"/>
      <c r="C336" s="571" t="n"/>
      <c r="D336" s="533" t="n"/>
      <c r="E336" s="533" t="n"/>
      <c r="F336" s="533" t="n"/>
      <c r="G336" s="533" t="n"/>
      <c r="H336" s="533" t="n"/>
    </row>
    <row r="337" ht="24" customHeight="1">
      <c r="A337" s="539" t="n"/>
      <c r="B337" s="539" t="n"/>
      <c r="C337" s="571" t="n"/>
      <c r="D337" s="533" t="n"/>
      <c r="E337" s="533" t="n"/>
      <c r="F337" s="533" t="n"/>
      <c r="G337" s="533" t="n"/>
      <c r="H337" s="533" t="n"/>
    </row>
    <row r="338" ht="24" customHeight="1">
      <c r="A338" s="539" t="n"/>
      <c r="B338" s="539" t="n"/>
      <c r="C338" s="571" t="n"/>
      <c r="D338" s="533" t="n"/>
      <c r="E338" s="533" t="n"/>
      <c r="F338" s="533" t="n"/>
      <c r="G338" s="533" t="n"/>
      <c r="H338" s="533" t="n"/>
    </row>
    <row r="339" ht="24" customHeight="1">
      <c r="A339" s="539" t="n"/>
      <c r="B339" s="539" t="n"/>
      <c r="C339" s="571" t="n"/>
      <c r="D339" s="533" t="n"/>
      <c r="E339" s="533" t="n"/>
      <c r="F339" s="533" t="n"/>
      <c r="G339" s="533" t="n"/>
      <c r="H339" s="533" t="n"/>
    </row>
    <row r="340" ht="24" customHeight="1">
      <c r="A340" s="539" t="n"/>
      <c r="B340" s="539" t="n"/>
      <c r="C340" s="571" t="n"/>
      <c r="D340" s="533" t="n"/>
      <c r="E340" s="533" t="n"/>
      <c r="F340" s="533" t="n"/>
      <c r="G340" s="533" t="n"/>
      <c r="H340" s="533" t="n"/>
    </row>
    <row r="341" ht="24" customHeight="1">
      <c r="A341" s="539" t="n"/>
      <c r="B341" s="539" t="n"/>
      <c r="C341" s="571" t="n"/>
      <c r="D341" s="533" t="n"/>
      <c r="E341" s="533" t="n"/>
      <c r="F341" s="533" t="n"/>
      <c r="G341" s="533" t="n"/>
      <c r="H341" s="533" t="n"/>
    </row>
    <row r="342" ht="24" customHeight="1">
      <c r="A342" s="539" t="n"/>
      <c r="B342" s="539" t="n"/>
      <c r="C342" s="571" t="n"/>
      <c r="D342" s="533" t="n"/>
      <c r="E342" s="533" t="n"/>
      <c r="F342" s="533" t="n"/>
      <c r="G342" s="533" t="n"/>
      <c r="H342" s="533" t="n"/>
    </row>
    <row r="343" ht="24" customHeight="1">
      <c r="A343" s="539" t="n"/>
      <c r="B343" s="539" t="n"/>
      <c r="C343" s="571" t="n"/>
      <c r="D343" s="533" t="n"/>
      <c r="E343" s="533" t="n"/>
      <c r="F343" s="533" t="n"/>
      <c r="G343" s="533" t="n"/>
      <c r="H343" s="533" t="n"/>
    </row>
    <row r="344" ht="24" customHeight="1">
      <c r="A344" s="539" t="n"/>
      <c r="B344" s="539" t="n"/>
      <c r="C344" s="571" t="n"/>
      <c r="D344" s="533" t="n"/>
      <c r="E344" s="533" t="n"/>
      <c r="F344" s="533" t="n"/>
      <c r="G344" s="533" t="n"/>
      <c r="H344" s="533" t="n"/>
    </row>
    <row r="345" ht="24" customHeight="1">
      <c r="A345" s="539" t="n"/>
      <c r="B345" s="539" t="n"/>
      <c r="C345" s="571" t="n"/>
      <c r="D345" s="533" t="n"/>
      <c r="E345" s="533" t="n"/>
      <c r="F345" s="533" t="n"/>
      <c r="G345" s="533" t="n"/>
      <c r="H345" s="533" t="n"/>
    </row>
    <row r="346" ht="24" customHeight="1">
      <c r="A346" s="539" t="n"/>
      <c r="B346" s="539" t="n"/>
      <c r="C346" s="571" t="n"/>
      <c r="D346" s="533" t="n"/>
      <c r="E346" s="533" t="n"/>
      <c r="F346" s="533" t="n"/>
      <c r="G346" s="533" t="n"/>
      <c r="H346" s="533" t="n"/>
    </row>
    <row r="347" ht="24" customHeight="1">
      <c r="A347" s="539" t="n"/>
      <c r="B347" s="539" t="n"/>
      <c r="C347" s="571" t="n"/>
      <c r="D347" s="533" t="n"/>
      <c r="E347" s="533" t="n"/>
      <c r="F347" s="533" t="n"/>
      <c r="G347" s="533" t="n"/>
      <c r="H347" s="533" t="n"/>
    </row>
    <row r="348" ht="24" customHeight="1">
      <c r="A348" s="539" t="n"/>
      <c r="B348" s="539" t="n"/>
      <c r="C348" s="571" t="n"/>
      <c r="D348" s="533" t="n"/>
      <c r="E348" s="533" t="n"/>
      <c r="F348" s="533" t="n"/>
      <c r="G348" s="533" t="n"/>
      <c r="H348" s="533" t="n"/>
    </row>
    <row r="349" ht="24" customHeight="1">
      <c r="A349" s="539" t="n"/>
      <c r="B349" s="539" t="n"/>
      <c r="C349" s="571" t="n"/>
      <c r="D349" s="533" t="n"/>
      <c r="E349" s="533" t="n"/>
      <c r="F349" s="533" t="n"/>
      <c r="G349" s="533" t="n"/>
      <c r="H349" s="533" t="n"/>
    </row>
    <row r="350" ht="24" customHeight="1">
      <c r="A350" s="539" t="n"/>
      <c r="B350" s="539" t="n"/>
      <c r="C350" s="571" t="n"/>
      <c r="D350" s="533" t="n"/>
      <c r="E350" s="533" t="n"/>
      <c r="F350" s="533" t="n"/>
      <c r="G350" s="533" t="n"/>
      <c r="H350" s="533" t="n"/>
    </row>
    <row r="351" ht="24" customHeight="1">
      <c r="A351" s="539" t="n"/>
      <c r="B351" s="539" t="n"/>
      <c r="C351" s="571" t="n"/>
      <c r="D351" s="533" t="n"/>
      <c r="E351" s="533" t="n"/>
      <c r="F351" s="533" t="n"/>
      <c r="G351" s="533" t="n"/>
      <c r="H351" s="533" t="n"/>
    </row>
    <row r="352" ht="24" customHeight="1">
      <c r="A352" s="539" t="n"/>
      <c r="B352" s="539" t="n"/>
      <c r="C352" s="571" t="n"/>
      <c r="D352" s="533" t="n"/>
      <c r="E352" s="533" t="n"/>
      <c r="F352" s="533" t="n"/>
      <c r="G352" s="533" t="n"/>
      <c r="H352" s="533" t="n"/>
    </row>
    <row r="353" ht="24" customHeight="1">
      <c r="A353" s="539" t="n"/>
      <c r="B353" s="539" t="n"/>
      <c r="C353" s="571" t="n"/>
      <c r="D353" s="533" t="n"/>
      <c r="E353" s="533" t="n"/>
      <c r="F353" s="533" t="n"/>
      <c r="G353" s="533" t="n"/>
      <c r="H353" s="533" t="n"/>
    </row>
    <row r="354" ht="24" customHeight="1">
      <c r="A354" s="539" t="n"/>
      <c r="B354" s="539" t="n"/>
      <c r="C354" s="571" t="n"/>
      <c r="D354" s="533" t="n"/>
      <c r="E354" s="533" t="n"/>
      <c r="F354" s="533" t="n"/>
      <c r="G354" s="533" t="n"/>
      <c r="H354" s="533" t="n"/>
    </row>
    <row r="355" ht="24" customHeight="1">
      <c r="A355" s="539" t="n"/>
      <c r="B355" s="539" t="n"/>
      <c r="C355" s="571" t="n"/>
      <c r="D355" s="533" t="n"/>
      <c r="E355" s="533" t="n"/>
      <c r="F355" s="533" t="n"/>
      <c r="G355" s="533" t="n"/>
      <c r="H355" s="533" t="n"/>
    </row>
    <row r="356" ht="24" customHeight="1">
      <c r="A356" s="539" t="n"/>
      <c r="B356" s="539" t="n"/>
      <c r="C356" s="571" t="n"/>
      <c r="D356" s="533" t="n"/>
      <c r="E356" s="533" t="n"/>
      <c r="F356" s="533" t="n"/>
      <c r="G356" s="533" t="n"/>
      <c r="H356" s="533" t="n"/>
    </row>
    <row r="357" ht="24" customHeight="1">
      <c r="A357" s="539" t="n"/>
      <c r="B357" s="539" t="n"/>
      <c r="C357" s="571" t="n"/>
      <c r="D357" s="533" t="n"/>
      <c r="E357" s="533" t="n"/>
      <c r="F357" s="533" t="n"/>
      <c r="G357" s="533" t="n"/>
      <c r="H357" s="533" t="n"/>
    </row>
    <row r="358" ht="24" customHeight="1">
      <c r="A358" s="539" t="n"/>
      <c r="B358" s="539" t="n"/>
      <c r="C358" s="571" t="n"/>
      <c r="D358" s="533" t="n"/>
      <c r="E358" s="533" t="n"/>
      <c r="F358" s="533" t="n"/>
      <c r="G358" s="533" t="n"/>
      <c r="H358" s="533" t="n"/>
    </row>
    <row r="359" ht="24" customHeight="1">
      <c r="A359" s="539" t="n"/>
      <c r="B359" s="539" t="n"/>
      <c r="C359" s="571" t="n"/>
      <c r="D359" s="533" t="n"/>
      <c r="E359" s="533" t="n"/>
      <c r="F359" s="533" t="n"/>
      <c r="G359" s="533" t="n"/>
      <c r="H359" s="533" t="n"/>
    </row>
    <row r="360" ht="24" customHeight="1">
      <c r="A360" s="539" t="n"/>
      <c r="B360" s="539" t="n"/>
      <c r="C360" s="571" t="n"/>
      <c r="D360" s="533" t="n"/>
      <c r="E360" s="533" t="n"/>
      <c r="F360" s="533" t="n"/>
      <c r="G360" s="533" t="n"/>
      <c r="H360" s="533" t="n"/>
    </row>
    <row r="361" ht="24" customHeight="1">
      <c r="A361" s="539" t="n"/>
      <c r="B361" s="539" t="n"/>
      <c r="C361" s="571" t="n"/>
      <c r="D361" s="533" t="n"/>
      <c r="E361" s="533" t="n"/>
      <c r="F361" s="533" t="n"/>
      <c r="G361" s="533" t="n"/>
      <c r="H361" s="533" t="n"/>
    </row>
    <row r="362" ht="24" customHeight="1">
      <c r="A362" s="539" t="n"/>
      <c r="B362" s="539" t="n"/>
      <c r="C362" s="571" t="n"/>
      <c r="D362" s="533" t="n"/>
      <c r="E362" s="533" t="n"/>
      <c r="F362" s="533" t="n"/>
      <c r="G362" s="533" t="n"/>
      <c r="H362" s="533" t="n"/>
    </row>
    <row r="363" ht="24" customHeight="1">
      <c r="A363" s="539" t="n"/>
      <c r="B363" s="539" t="n"/>
      <c r="C363" s="571" t="n"/>
      <c r="D363" s="533" t="n"/>
      <c r="E363" s="533" t="n"/>
      <c r="F363" s="533" t="n"/>
      <c r="G363" s="533" t="n"/>
      <c r="H363" s="533" t="n"/>
    </row>
    <row r="364" ht="24" customHeight="1">
      <c r="A364" s="539" t="n"/>
      <c r="B364" s="539" t="n"/>
      <c r="C364" s="571" t="n"/>
      <c r="D364" s="533" t="n"/>
      <c r="E364" s="533" t="n"/>
      <c r="F364" s="533" t="n"/>
      <c r="G364" s="533" t="n"/>
      <c r="H364" s="533" t="n"/>
    </row>
    <row r="365" ht="24" customHeight="1">
      <c r="A365" s="539" t="n"/>
      <c r="B365" s="539" t="n"/>
      <c r="C365" s="571" t="n"/>
      <c r="D365" s="533" t="n"/>
      <c r="E365" s="533" t="n"/>
      <c r="F365" s="533" t="n"/>
      <c r="G365" s="533" t="n"/>
      <c r="H365" s="533" t="n"/>
    </row>
    <row r="366" ht="24" customHeight="1">
      <c r="A366" s="539" t="n"/>
      <c r="B366" s="539" t="n"/>
      <c r="C366" s="571" t="n"/>
      <c r="D366" s="533" t="n"/>
      <c r="E366" s="533" t="n"/>
      <c r="F366" s="533" t="n"/>
      <c r="G366" s="533" t="n"/>
      <c r="H366" s="533" t="n"/>
    </row>
    <row r="367" ht="24" customHeight="1">
      <c r="A367" s="539" t="n"/>
      <c r="B367" s="539" t="n"/>
      <c r="C367" s="571" t="n"/>
      <c r="D367" s="533" t="n"/>
      <c r="E367" s="533" t="n"/>
      <c r="F367" s="533" t="n"/>
      <c r="G367" s="533" t="n"/>
      <c r="H367" s="533" t="n"/>
    </row>
    <row r="368" ht="24" customHeight="1">
      <c r="A368" s="539" t="n"/>
      <c r="B368" s="539" t="n"/>
      <c r="C368" s="571" t="n"/>
      <c r="D368" s="533" t="n"/>
      <c r="E368" s="533" t="n"/>
      <c r="F368" s="533" t="n"/>
      <c r="G368" s="533" t="n"/>
      <c r="H368" s="533" t="n"/>
    </row>
    <row r="369" ht="24" customHeight="1">
      <c r="A369" s="539" t="n"/>
      <c r="B369" s="539" t="n"/>
      <c r="C369" s="571" t="n"/>
      <c r="D369" s="533" t="n"/>
      <c r="E369" s="533" t="n"/>
      <c r="F369" s="533" t="n"/>
      <c r="G369" s="533" t="n"/>
      <c r="H369" s="533" t="n"/>
    </row>
    <row r="370" ht="24" customHeight="1">
      <c r="A370" s="539" t="n"/>
      <c r="B370" s="539" t="n"/>
      <c r="C370" s="571" t="n"/>
      <c r="D370" s="533" t="n"/>
      <c r="E370" s="533" t="n"/>
      <c r="F370" s="533" t="n"/>
      <c r="G370" s="533" t="n"/>
      <c r="H370" s="533" t="n"/>
    </row>
    <row r="371" ht="24" customHeight="1">
      <c r="A371" s="539" t="n"/>
      <c r="B371" s="539" t="n"/>
      <c r="C371" s="571" t="n"/>
      <c r="D371" s="533" t="n"/>
      <c r="E371" s="533" t="n"/>
      <c r="F371" s="533" t="n"/>
      <c r="G371" s="533" t="n"/>
      <c r="H371" s="533" t="n"/>
    </row>
    <row r="372" ht="24" customHeight="1">
      <c r="A372" s="539" t="n"/>
      <c r="B372" s="539" t="n"/>
      <c r="C372" s="571" t="n"/>
      <c r="D372" s="533" t="n"/>
      <c r="E372" s="533" t="n"/>
      <c r="F372" s="533" t="n"/>
      <c r="G372" s="533" t="n"/>
      <c r="H372" s="533" t="n"/>
    </row>
    <row r="373" ht="24" customHeight="1">
      <c r="A373" s="539" t="n"/>
      <c r="B373" s="539" t="n"/>
      <c r="C373" s="571" t="n"/>
      <c r="D373" s="533" t="n"/>
      <c r="E373" s="533" t="n"/>
      <c r="F373" s="533" t="n"/>
      <c r="G373" s="533" t="n"/>
      <c r="H373" s="533" t="n"/>
    </row>
    <row r="374" ht="24" customHeight="1">
      <c r="A374" s="539" t="n"/>
      <c r="B374" s="539" t="n"/>
      <c r="C374" s="571" t="n"/>
      <c r="D374" s="533" t="n"/>
      <c r="E374" s="533" t="n"/>
      <c r="F374" s="533" t="n"/>
      <c r="G374" s="533" t="n"/>
      <c r="H374" s="533" t="n"/>
    </row>
    <row r="375" ht="24" customHeight="1">
      <c r="A375" s="539" t="n"/>
      <c r="B375" s="539" t="n"/>
      <c r="C375" s="571" t="n"/>
      <c r="D375" s="533" t="n"/>
      <c r="E375" s="533" t="n"/>
      <c r="F375" s="533" t="n"/>
      <c r="G375" s="533" t="n"/>
      <c r="H375" s="533" t="n"/>
    </row>
    <row r="376" ht="24" customHeight="1">
      <c r="A376" s="539" t="n"/>
      <c r="B376" s="539" t="n"/>
      <c r="C376" s="571" t="n"/>
      <c r="D376" s="533" t="n"/>
      <c r="E376" s="533" t="n"/>
      <c r="F376" s="533" t="n"/>
      <c r="G376" s="533" t="n"/>
      <c r="H376" s="533" t="n"/>
    </row>
    <row r="377" ht="24" customHeight="1">
      <c r="A377" s="539" t="n"/>
      <c r="B377" s="539" t="n"/>
      <c r="C377" s="571" t="n"/>
      <c r="D377" s="533" t="n"/>
      <c r="E377" s="533" t="n"/>
      <c r="F377" s="533" t="n"/>
      <c r="G377" s="533" t="n"/>
      <c r="H377" s="533" t="n"/>
    </row>
    <row r="378" ht="24" customHeight="1">
      <c r="A378" s="539" t="n"/>
      <c r="B378" s="539" t="n"/>
      <c r="C378" s="571" t="n"/>
      <c r="D378" s="533" t="n"/>
      <c r="E378" s="533" t="n"/>
      <c r="F378" s="533" t="n"/>
      <c r="G378" s="533" t="n"/>
      <c r="H378" s="533" t="n"/>
    </row>
    <row r="379" ht="24" customHeight="1">
      <c r="A379" s="539" t="n"/>
      <c r="B379" s="539" t="n"/>
      <c r="C379" s="571" t="n"/>
      <c r="D379" s="533" t="n"/>
      <c r="E379" s="533" t="n"/>
      <c r="F379" s="533" t="n"/>
      <c r="G379" s="533" t="n"/>
      <c r="H379" s="533" t="n"/>
    </row>
    <row r="380" ht="24" customHeight="1">
      <c r="A380" s="539" t="n"/>
      <c r="B380" s="539" t="n"/>
      <c r="C380" s="571" t="n"/>
      <c r="D380" s="533" t="n"/>
      <c r="E380" s="533" t="n"/>
      <c r="F380" s="533" t="n"/>
      <c r="G380" s="533" t="n"/>
      <c r="H380" s="533" t="n"/>
    </row>
    <row r="381" ht="24" customHeight="1">
      <c r="A381" s="539" t="n"/>
      <c r="B381" s="539" t="n"/>
      <c r="C381" s="571" t="n"/>
      <c r="D381" s="533" t="n"/>
      <c r="E381" s="533" t="n"/>
      <c r="F381" s="533" t="n"/>
      <c r="G381" s="533" t="n"/>
      <c r="H381" s="533" t="n"/>
    </row>
    <row r="382" ht="24" customHeight="1">
      <c r="A382" s="539" t="n"/>
      <c r="B382" s="539" t="n"/>
      <c r="C382" s="571" t="n"/>
      <c r="D382" s="533" t="n"/>
      <c r="E382" s="533" t="n"/>
      <c r="F382" s="533" t="n"/>
      <c r="G382" s="533" t="n"/>
      <c r="H382" s="533" t="n"/>
    </row>
    <row r="383" ht="24" customHeight="1">
      <c r="A383" s="539" t="n"/>
      <c r="B383" s="539" t="n"/>
      <c r="C383" s="571" t="n"/>
      <c r="D383" s="533" t="n"/>
      <c r="E383" s="533" t="n"/>
      <c r="F383" s="533" t="n"/>
      <c r="G383" s="533" t="n"/>
      <c r="H383" s="533" t="n"/>
    </row>
    <row r="384" ht="24" customHeight="1">
      <c r="A384" s="539" t="n"/>
      <c r="B384" s="539" t="n"/>
      <c r="C384" s="571" t="n"/>
      <c r="D384" s="533" t="n"/>
      <c r="E384" s="533" t="n"/>
      <c r="F384" s="533" t="n"/>
      <c r="G384" s="533" t="n"/>
      <c r="H384" s="533" t="n"/>
    </row>
    <row r="385" ht="24" customHeight="1">
      <c r="A385" s="539" t="n"/>
      <c r="B385" s="539" t="n"/>
      <c r="C385" s="571" t="n"/>
      <c r="D385" s="533" t="n"/>
      <c r="E385" s="533" t="n"/>
      <c r="F385" s="533" t="n"/>
      <c r="G385" s="533" t="n"/>
      <c r="H385" s="533" t="n"/>
    </row>
    <row r="386" ht="24" customHeight="1">
      <c r="A386" s="539" t="n"/>
      <c r="B386" s="539" t="n"/>
      <c r="C386" s="571" t="n"/>
      <c r="D386" s="533" t="n"/>
      <c r="E386" s="533" t="n"/>
      <c r="F386" s="533" t="n"/>
      <c r="G386" s="533" t="n"/>
      <c r="H386" s="533" t="n"/>
    </row>
    <row r="387" ht="24" customHeight="1">
      <c r="A387" s="539" t="n"/>
      <c r="B387" s="539" t="n"/>
      <c r="C387" s="571" t="n"/>
      <c r="D387" s="533" t="n"/>
      <c r="E387" s="533" t="n"/>
      <c r="F387" s="533" t="n"/>
      <c r="G387" s="533" t="n"/>
      <c r="H387" s="533" t="n"/>
    </row>
    <row r="388" ht="24" customHeight="1">
      <c r="A388" s="539" t="n"/>
      <c r="B388" s="539" t="n"/>
      <c r="C388" s="571" t="n"/>
      <c r="D388" s="533" t="n"/>
      <c r="E388" s="533" t="n"/>
      <c r="F388" s="533" t="n"/>
      <c r="G388" s="533" t="n"/>
      <c r="H388" s="533" t="n"/>
    </row>
    <row r="389" ht="24" customHeight="1">
      <c r="A389" s="539" t="n"/>
      <c r="B389" s="539" t="n"/>
      <c r="C389" s="571" t="n"/>
      <c r="D389" s="533" t="n"/>
      <c r="E389" s="533" t="n"/>
      <c r="F389" s="533" t="n"/>
      <c r="G389" s="533" t="n"/>
      <c r="H389" s="533" t="n"/>
    </row>
    <row r="390" ht="24" customHeight="1">
      <c r="A390" s="539" t="n"/>
      <c r="B390" s="539" t="n"/>
      <c r="C390" s="571" t="n"/>
      <c r="D390" s="533" t="n"/>
      <c r="E390" s="533" t="n"/>
      <c r="F390" s="533" t="n"/>
      <c r="G390" s="533" t="n"/>
      <c r="H390" s="533" t="n"/>
    </row>
    <row r="391" ht="24" customHeight="1">
      <c r="A391" s="539" t="n"/>
      <c r="B391" s="539" t="n"/>
      <c r="C391" s="571" t="n"/>
      <c r="D391" s="533" t="n"/>
      <c r="E391" s="533" t="n"/>
      <c r="F391" s="533" t="n"/>
      <c r="G391" s="533" t="n"/>
      <c r="H391" s="533" t="n"/>
    </row>
    <row r="392" ht="24" customHeight="1">
      <c r="A392" s="539" t="n"/>
      <c r="B392" s="539" t="n"/>
      <c r="C392" s="571" t="n"/>
      <c r="D392" s="533" t="n"/>
      <c r="E392" s="533" t="n"/>
      <c r="F392" s="533" t="n"/>
      <c r="G392" s="533" t="n"/>
      <c r="H392" s="533" t="n"/>
    </row>
    <row r="393" ht="24" customHeight="1">
      <c r="A393" s="539" t="n"/>
      <c r="B393" s="539" t="n"/>
      <c r="C393" s="571" t="n"/>
      <c r="D393" s="533" t="n"/>
      <c r="E393" s="533" t="n"/>
      <c r="F393" s="533" t="n"/>
      <c r="G393" s="533" t="n"/>
      <c r="H393" s="533" t="n"/>
    </row>
    <row r="394" ht="24" customHeight="1">
      <c r="A394" s="539" t="n"/>
      <c r="B394" s="539" t="n"/>
      <c r="C394" s="571" t="n"/>
      <c r="D394" s="533" t="n"/>
      <c r="E394" s="533" t="n"/>
      <c r="F394" s="533" t="n"/>
      <c r="G394" s="533" t="n"/>
      <c r="H394" s="533" t="n"/>
    </row>
    <row r="395" ht="24" customHeight="1">
      <c r="A395" s="539" t="n"/>
      <c r="B395" s="539" t="n"/>
      <c r="C395" s="571" t="n"/>
      <c r="D395" s="533" t="n"/>
      <c r="E395" s="533" t="n"/>
      <c r="F395" s="533" t="n"/>
      <c r="G395" s="533" t="n"/>
      <c r="H395" s="533" t="n"/>
    </row>
    <row r="396" ht="24" customHeight="1">
      <c r="A396" s="539" t="n"/>
      <c r="B396" s="539" t="n"/>
      <c r="C396" s="571" t="n"/>
      <c r="D396" s="533" t="n"/>
      <c r="E396" s="533" t="n"/>
      <c r="F396" s="533" t="n"/>
      <c r="G396" s="533" t="n"/>
      <c r="H396" s="533" t="n"/>
    </row>
    <row r="397" ht="24" customHeight="1">
      <c r="A397" s="539" t="n"/>
      <c r="B397" s="539" t="n"/>
      <c r="C397" s="571" t="n"/>
      <c r="D397" s="533" t="n"/>
      <c r="E397" s="533" t="n"/>
      <c r="F397" s="533" t="n"/>
      <c r="G397" s="533" t="n"/>
      <c r="H397" s="533" t="n"/>
    </row>
    <row r="398" ht="24" customHeight="1">
      <c r="A398" s="539" t="n"/>
      <c r="B398" s="539" t="n"/>
      <c r="C398" s="571" t="n"/>
      <c r="D398" s="533" t="n"/>
      <c r="E398" s="533" t="n"/>
      <c r="F398" s="533" t="n"/>
      <c r="G398" s="533" t="n"/>
      <c r="H398" s="533" t="n"/>
    </row>
    <row r="399" ht="24" customHeight="1">
      <c r="A399" s="539" t="n"/>
      <c r="B399" s="539" t="n"/>
      <c r="C399" s="571" t="n"/>
      <c r="D399" s="533" t="n"/>
      <c r="E399" s="533" t="n"/>
      <c r="F399" s="533" t="n"/>
      <c r="G399" s="533" t="n"/>
      <c r="H399" s="533" t="n"/>
    </row>
    <row r="400" ht="24" customHeight="1">
      <c r="A400" s="539" t="n"/>
      <c r="B400" s="539" t="n"/>
      <c r="C400" s="571" t="n"/>
      <c r="D400" s="533" t="n"/>
      <c r="E400" s="533" t="n"/>
      <c r="F400" s="533" t="n"/>
      <c r="G400" s="533" t="n"/>
      <c r="H400" s="533" t="n"/>
    </row>
    <row r="401" ht="24" customHeight="1">
      <c r="A401" s="539" t="n"/>
      <c r="B401" s="539" t="n"/>
      <c r="C401" s="571" t="n"/>
      <c r="D401" s="533" t="n"/>
      <c r="E401" s="533" t="n"/>
      <c r="F401" s="533" t="n"/>
      <c r="G401" s="533" t="n"/>
      <c r="H401" s="533" t="n"/>
    </row>
    <row r="402" ht="24" customHeight="1">
      <c r="A402" s="539" t="n"/>
      <c r="B402" s="539" t="n"/>
      <c r="C402" s="571" t="n"/>
      <c r="D402" s="533" t="n"/>
      <c r="E402" s="533" t="n"/>
      <c r="F402" s="533" t="n"/>
      <c r="G402" s="533" t="n"/>
      <c r="H402" s="533" t="n"/>
    </row>
    <row r="403" ht="24" customHeight="1">
      <c r="A403" s="539" t="n"/>
      <c r="B403" s="539" t="n"/>
      <c r="C403" s="571" t="n"/>
      <c r="D403" s="533" t="n"/>
      <c r="E403" s="533" t="n"/>
      <c r="F403" s="533" t="n"/>
      <c r="G403" s="533" t="n"/>
      <c r="H403" s="533" t="n"/>
    </row>
    <row r="404" ht="24" customHeight="1">
      <c r="A404" s="539" t="n"/>
      <c r="B404" s="539" t="n"/>
      <c r="C404" s="571" t="n"/>
      <c r="D404" s="533" t="n"/>
      <c r="E404" s="533" t="n"/>
      <c r="F404" s="533" t="n"/>
      <c r="G404" s="533" t="n"/>
      <c r="H404" s="533" t="n"/>
    </row>
    <row r="405" ht="24" customHeight="1">
      <c r="A405" s="539" t="n"/>
      <c r="B405" s="539" t="n"/>
      <c r="C405" s="571" t="n"/>
      <c r="D405" s="533" t="n"/>
      <c r="E405" s="533" t="n"/>
      <c r="F405" s="533" t="n"/>
      <c r="G405" s="533" t="n"/>
      <c r="H405" s="533" t="n"/>
    </row>
    <row r="406" ht="24" customHeight="1">
      <c r="A406" s="539" t="n"/>
      <c r="B406" s="539" t="n"/>
      <c r="C406" s="571" t="n"/>
      <c r="D406" s="533" t="n"/>
      <c r="E406" s="533" t="n"/>
      <c r="F406" s="533" t="n"/>
      <c r="G406" s="533" t="n"/>
      <c r="H406" s="533" t="n"/>
    </row>
    <row r="407" ht="24" customHeight="1">
      <c r="A407" s="539" t="n"/>
      <c r="B407" s="539" t="n"/>
      <c r="C407" s="571" t="n"/>
      <c r="D407" s="533" t="n"/>
      <c r="E407" s="533" t="n"/>
      <c r="F407" s="533" t="n"/>
      <c r="G407" s="533" t="n"/>
      <c r="H407" s="533" t="n"/>
    </row>
    <row r="408" ht="24" customHeight="1">
      <c r="A408" s="539" t="n"/>
      <c r="B408" s="539" t="n"/>
      <c r="C408" s="571" t="n"/>
      <c r="D408" s="533" t="n"/>
      <c r="E408" s="533" t="n"/>
      <c r="F408" s="533" t="n"/>
      <c r="G408" s="533" t="n"/>
      <c r="H408" s="533" t="n"/>
    </row>
    <row r="409" ht="24" customHeight="1">
      <c r="A409" s="539" t="n"/>
      <c r="B409" s="539" t="n"/>
      <c r="C409" s="571" t="n"/>
      <c r="D409" s="533" t="n"/>
      <c r="E409" s="533" t="n"/>
      <c r="F409" s="533" t="n"/>
      <c r="G409" s="533" t="n"/>
      <c r="H409" s="533" t="n"/>
    </row>
    <row r="410" ht="24" customHeight="1">
      <c r="A410" s="539" t="n"/>
      <c r="B410" s="539" t="n"/>
      <c r="C410" s="571" t="n"/>
      <c r="D410" s="533" t="n"/>
      <c r="E410" s="533" t="n"/>
      <c r="F410" s="533" t="n"/>
      <c r="G410" s="533" t="n"/>
      <c r="H410" s="533" t="n"/>
    </row>
    <row r="411" ht="24" customHeight="1">
      <c r="A411" s="539" t="n"/>
      <c r="B411" s="539" t="n"/>
      <c r="C411" s="571" t="n"/>
      <c r="D411" s="533" t="n"/>
      <c r="E411" s="533" t="n"/>
      <c r="F411" s="533" t="n"/>
      <c r="G411" s="533" t="n"/>
      <c r="H411" s="533" t="n"/>
    </row>
    <row r="412" ht="24" customHeight="1">
      <c r="A412" s="539" t="n"/>
      <c r="B412" s="539" t="n"/>
      <c r="C412" s="571" t="n"/>
      <c r="D412" s="533" t="n"/>
      <c r="E412" s="533" t="n"/>
      <c r="F412" s="533" t="n"/>
      <c r="G412" s="533" t="n"/>
      <c r="H412" s="533" t="n"/>
    </row>
    <row r="413" ht="24" customHeight="1">
      <c r="A413" s="539" t="n"/>
      <c r="B413" s="539" t="n"/>
      <c r="C413" s="571" t="n"/>
      <c r="D413" s="533" t="n"/>
      <c r="E413" s="533" t="n"/>
      <c r="F413" s="533" t="n"/>
      <c r="G413" s="533" t="n"/>
      <c r="H413" s="533" t="n"/>
    </row>
    <row r="414" ht="24" customHeight="1">
      <c r="A414" s="539" t="n"/>
      <c r="B414" s="539" t="n"/>
      <c r="C414" s="571" t="n"/>
      <c r="D414" s="533" t="n"/>
      <c r="E414" s="533" t="n"/>
      <c r="F414" s="533" t="n"/>
      <c r="G414" s="533" t="n"/>
      <c r="H414" s="533" t="n"/>
    </row>
    <row r="415" ht="24" customHeight="1">
      <c r="A415" s="539" t="n"/>
      <c r="B415" s="539" t="n"/>
      <c r="C415" s="571" t="n"/>
      <c r="D415" s="533" t="n"/>
      <c r="E415" s="533" t="n"/>
      <c r="F415" s="533" t="n"/>
      <c r="G415" s="533" t="n"/>
      <c r="H415" s="533" t="n"/>
    </row>
    <row r="416" ht="24" customHeight="1">
      <c r="A416" s="539" t="n"/>
      <c r="B416" s="539" t="n"/>
      <c r="C416" s="571" t="n"/>
      <c r="D416" s="533" t="n"/>
      <c r="E416" s="533" t="n"/>
      <c r="F416" s="533" t="n"/>
      <c r="G416" s="533" t="n"/>
      <c r="H416" s="533" t="n"/>
    </row>
    <row r="417" ht="24" customHeight="1">
      <c r="A417" s="539" t="n"/>
      <c r="B417" s="539" t="n"/>
      <c r="C417" s="571" t="n"/>
      <c r="D417" s="533" t="n"/>
      <c r="E417" s="533" t="n"/>
      <c r="F417" s="533" t="n"/>
      <c r="G417" s="533" t="n"/>
      <c r="H417" s="533" t="n"/>
    </row>
    <row r="418" ht="24" customHeight="1">
      <c r="A418" s="539" t="n"/>
      <c r="B418" s="539" t="n"/>
      <c r="C418" s="571" t="n"/>
      <c r="D418" s="533" t="n"/>
      <c r="E418" s="533" t="n"/>
      <c r="F418" s="533" t="n"/>
      <c r="G418" s="533" t="n"/>
      <c r="H418" s="533" t="n"/>
    </row>
    <row r="419" ht="24" customHeight="1">
      <c r="A419" s="539" t="n"/>
      <c r="B419" s="539" t="n"/>
      <c r="C419" s="571" t="n"/>
      <c r="D419" s="533" t="n"/>
      <c r="E419" s="533" t="n"/>
      <c r="F419" s="533" t="n"/>
      <c r="G419" s="533" t="n"/>
      <c r="H419" s="533" t="n"/>
    </row>
    <row r="420" ht="24" customHeight="1">
      <c r="A420" s="539" t="n"/>
      <c r="B420" s="539" t="n"/>
      <c r="C420" s="571" t="n"/>
      <c r="D420" s="533" t="n"/>
      <c r="E420" s="533" t="n"/>
      <c r="F420" s="533" t="n"/>
      <c r="G420" s="533" t="n"/>
      <c r="H420" s="533" t="n"/>
    </row>
    <row r="421" ht="24" customHeight="1">
      <c r="A421" s="539" t="n"/>
      <c r="B421" s="539" t="n"/>
      <c r="C421" s="571" t="n"/>
      <c r="D421" s="533" t="n"/>
      <c r="E421" s="533" t="n"/>
      <c r="F421" s="533" t="n"/>
      <c r="G421" s="533" t="n"/>
      <c r="H421" s="533" t="n"/>
    </row>
    <row r="422" ht="24" customHeight="1">
      <c r="A422" s="539" t="n"/>
      <c r="B422" s="539" t="n"/>
      <c r="C422" s="571" t="n"/>
      <c r="D422" s="533" t="n"/>
      <c r="E422" s="533" t="n"/>
      <c r="F422" s="533" t="n"/>
      <c r="G422" s="533" t="n"/>
      <c r="H422" s="533" t="n"/>
    </row>
    <row r="423" ht="24" customHeight="1">
      <c r="A423" s="539" t="n"/>
      <c r="B423" s="539" t="n"/>
      <c r="C423" s="571" t="n"/>
      <c r="D423" s="533" t="n"/>
      <c r="E423" s="533" t="n"/>
      <c r="F423" s="533" t="n"/>
      <c r="G423" s="533" t="n"/>
      <c r="H423" s="533" t="n"/>
    </row>
    <row r="424" ht="24" customHeight="1">
      <c r="A424" s="539" t="n"/>
      <c r="B424" s="539" t="n"/>
      <c r="C424" s="571" t="n"/>
      <c r="D424" s="533" t="n"/>
      <c r="E424" s="533" t="n"/>
      <c r="F424" s="533" t="n"/>
      <c r="G424" s="533" t="n"/>
      <c r="H424" s="533" t="n"/>
    </row>
    <row r="425" ht="24" customHeight="1">
      <c r="A425" s="539" t="n"/>
      <c r="B425" s="539" t="n"/>
      <c r="C425" s="571" t="n"/>
      <c r="D425" s="533" t="n"/>
      <c r="E425" s="533" t="n"/>
      <c r="F425" s="533" t="n"/>
      <c r="G425" s="533" t="n"/>
      <c r="H425" s="533" t="n"/>
    </row>
    <row r="426" ht="24" customHeight="1">
      <c r="A426" s="539" t="n"/>
      <c r="B426" s="539" t="n"/>
      <c r="C426" s="571" t="n"/>
      <c r="D426" s="533" t="n"/>
      <c r="E426" s="533" t="n"/>
      <c r="F426" s="533" t="n"/>
      <c r="G426" s="533" t="n"/>
      <c r="H426" s="533" t="n"/>
    </row>
    <row r="427" ht="24" customHeight="1">
      <c r="A427" s="539" t="n"/>
      <c r="B427" s="539" t="n"/>
      <c r="C427" s="571" t="n"/>
      <c r="D427" s="533" t="n"/>
      <c r="E427" s="533" t="n"/>
      <c r="F427" s="533" t="n"/>
      <c r="G427" s="533" t="n"/>
      <c r="H427" s="533" t="n"/>
    </row>
    <row r="428" ht="24" customHeight="1">
      <c r="A428" s="539" t="n"/>
      <c r="B428" s="539" t="n"/>
      <c r="C428" s="571" t="n"/>
      <c r="D428" s="533" t="n"/>
      <c r="E428" s="533" t="n"/>
      <c r="F428" s="533" t="n"/>
      <c r="G428" s="533" t="n"/>
      <c r="H428" s="533" t="n"/>
    </row>
    <row r="429" ht="24" customHeight="1">
      <c r="A429" s="539" t="n"/>
      <c r="B429" s="539" t="n"/>
      <c r="C429" s="571" t="n"/>
      <c r="D429" s="533" t="n"/>
      <c r="E429" s="533" t="n"/>
      <c r="F429" s="533" t="n"/>
      <c r="G429" s="533" t="n"/>
      <c r="H429" s="533" t="n"/>
    </row>
    <row r="430" ht="24" customHeight="1">
      <c r="A430" s="539" t="n"/>
      <c r="B430" s="539" t="n"/>
      <c r="C430" s="571" t="n"/>
      <c r="D430" s="533" t="n"/>
      <c r="E430" s="533" t="n"/>
      <c r="F430" s="533" t="n"/>
      <c r="G430" s="533" t="n"/>
      <c r="H430" s="533" t="n"/>
    </row>
    <row r="431" ht="24" customHeight="1">
      <c r="A431" s="539" t="n"/>
      <c r="B431" s="539" t="n"/>
      <c r="C431" s="571" t="n"/>
      <c r="D431" s="533" t="n"/>
      <c r="E431" s="533" t="n"/>
      <c r="F431" s="533" t="n"/>
      <c r="G431" s="533" t="n"/>
      <c r="H431" s="533" t="n"/>
    </row>
    <row r="432" ht="24" customHeight="1">
      <c r="A432" s="539" t="n"/>
      <c r="B432" s="539" t="n"/>
      <c r="C432" s="571" t="n"/>
      <c r="D432" s="533" t="n"/>
      <c r="E432" s="533" t="n"/>
      <c r="F432" s="533" t="n"/>
      <c r="G432" s="533" t="n"/>
      <c r="H432" s="533" t="n"/>
    </row>
    <row r="433" ht="24" customHeight="1">
      <c r="A433" s="539" t="n"/>
      <c r="B433" s="539" t="n"/>
      <c r="C433" s="571" t="n"/>
      <c r="D433" s="533" t="n"/>
      <c r="E433" s="533" t="n"/>
      <c r="F433" s="533" t="n"/>
      <c r="G433" s="533" t="n"/>
      <c r="H433" s="533" t="n"/>
    </row>
    <row r="434" ht="24" customHeight="1">
      <c r="A434" s="539" t="n"/>
      <c r="B434" s="539" t="n"/>
      <c r="C434" s="571" t="n"/>
      <c r="D434" s="533" t="n"/>
      <c r="E434" s="533" t="n"/>
      <c r="F434" s="533" t="n"/>
      <c r="G434" s="533" t="n"/>
      <c r="H434" s="533" t="n"/>
    </row>
    <row r="435" ht="24" customHeight="1">
      <c r="A435" s="539" t="n"/>
      <c r="B435" s="539" t="n"/>
      <c r="C435" s="571" t="n"/>
      <c r="D435" s="533" t="n"/>
      <c r="E435" s="533" t="n"/>
      <c r="F435" s="533" t="n"/>
      <c r="G435" s="533" t="n"/>
      <c r="H435" s="533" t="n"/>
    </row>
    <row r="436" ht="24" customHeight="1">
      <c r="A436" s="539" t="n"/>
      <c r="B436" s="539" t="n"/>
      <c r="C436" s="571" t="n"/>
      <c r="D436" s="533" t="n"/>
      <c r="E436" s="533" t="n"/>
      <c r="F436" s="533" t="n"/>
      <c r="G436" s="533" t="n"/>
      <c r="H436" s="533" t="n"/>
    </row>
    <row r="437" ht="24" customHeight="1">
      <c r="A437" s="539" t="n"/>
      <c r="B437" s="539" t="n"/>
      <c r="C437" s="571" t="n"/>
      <c r="D437" s="533" t="n"/>
      <c r="E437" s="533" t="n"/>
      <c r="F437" s="533" t="n"/>
      <c r="G437" s="533" t="n"/>
      <c r="H437" s="533" t="n"/>
    </row>
    <row r="438" ht="24" customHeight="1">
      <c r="A438" s="539" t="n"/>
      <c r="B438" s="539" t="n"/>
      <c r="C438" s="571" t="n"/>
      <c r="D438" s="533" t="n"/>
      <c r="E438" s="533" t="n"/>
      <c r="F438" s="533" t="n"/>
      <c r="G438" s="533" t="n"/>
      <c r="H438" s="533" t="n"/>
    </row>
    <row r="439" ht="24" customHeight="1">
      <c r="A439" s="539" t="n"/>
      <c r="B439" s="539" t="n"/>
      <c r="C439" s="571" t="n"/>
      <c r="D439" s="533" t="n"/>
      <c r="E439" s="533" t="n"/>
      <c r="F439" s="533" t="n"/>
      <c r="G439" s="533" t="n"/>
      <c r="H439" s="533" t="n"/>
    </row>
    <row r="440" ht="24" customHeight="1">
      <c r="A440" s="539" t="n"/>
      <c r="B440" s="539" t="n"/>
      <c r="C440" s="571" t="n"/>
      <c r="D440" s="533" t="n"/>
      <c r="E440" s="533" t="n"/>
      <c r="F440" s="533" t="n"/>
      <c r="G440" s="533" t="n"/>
      <c r="H440" s="533" t="n"/>
    </row>
    <row r="441" ht="24" customHeight="1">
      <c r="A441" s="539" t="n"/>
      <c r="B441" s="539" t="n"/>
      <c r="C441" s="571" t="n"/>
      <c r="D441" s="533" t="n"/>
      <c r="E441" s="533" t="n"/>
      <c r="F441" s="533" t="n"/>
      <c r="G441" s="533" t="n"/>
      <c r="H441" s="533" t="n"/>
    </row>
    <row r="442" ht="24" customHeight="1">
      <c r="A442" s="539" t="n"/>
      <c r="B442" s="539" t="n"/>
      <c r="C442" s="571" t="n"/>
      <c r="D442" s="533" t="n"/>
      <c r="E442" s="533" t="n"/>
      <c r="F442" s="533" t="n"/>
      <c r="G442" s="533" t="n"/>
      <c r="H442" s="533" t="n"/>
    </row>
    <row r="443" ht="24" customHeight="1">
      <c r="A443" s="539" t="n"/>
      <c r="B443" s="539" t="n"/>
      <c r="C443" s="571" t="n"/>
      <c r="D443" s="533" t="n"/>
      <c r="E443" s="533" t="n"/>
      <c r="F443" s="533" t="n"/>
      <c r="G443" s="533" t="n"/>
      <c r="H443" s="533" t="n"/>
    </row>
    <row r="444" ht="24" customHeight="1">
      <c r="A444" s="539" t="n"/>
      <c r="B444" s="539" t="n"/>
      <c r="C444" s="571" t="n"/>
      <c r="D444" s="533" t="n"/>
      <c r="E444" s="533" t="n"/>
      <c r="F444" s="533" t="n"/>
      <c r="G444" s="533" t="n"/>
      <c r="H444" s="533" t="n"/>
    </row>
    <row r="445" ht="24" customHeight="1">
      <c r="A445" s="539" t="n"/>
      <c r="B445" s="539" t="n"/>
      <c r="C445" s="571" t="n"/>
      <c r="D445" s="533" t="n"/>
      <c r="E445" s="533" t="n"/>
      <c r="F445" s="533" t="n"/>
      <c r="G445" s="533" t="n"/>
      <c r="H445" s="533" t="n"/>
    </row>
    <row r="446" ht="24" customHeight="1">
      <c r="A446" s="539" t="n"/>
      <c r="B446" s="539" t="n"/>
      <c r="C446" s="571" t="n"/>
      <c r="D446" s="533" t="n"/>
      <c r="E446" s="533" t="n"/>
      <c r="F446" s="533" t="n"/>
      <c r="G446" s="533" t="n"/>
      <c r="H446" s="533" t="n"/>
    </row>
    <row r="447" ht="24" customHeight="1">
      <c r="A447" s="539" t="n"/>
      <c r="B447" s="539" t="n"/>
      <c r="C447" s="571" t="n"/>
      <c r="D447" s="533" t="n"/>
      <c r="E447" s="533" t="n"/>
      <c r="F447" s="533" t="n"/>
      <c r="G447" s="533" t="n"/>
      <c r="H447" s="533" t="n"/>
    </row>
    <row r="448" ht="24" customHeight="1">
      <c r="A448" s="539" t="n"/>
      <c r="B448" s="539" t="n"/>
      <c r="C448" s="571" t="n"/>
      <c r="D448" s="533" t="n"/>
      <c r="E448" s="533" t="n"/>
      <c r="F448" s="533" t="n"/>
      <c r="G448" s="533" t="n"/>
      <c r="H448" s="533" t="n"/>
    </row>
    <row r="449" ht="24" customHeight="1">
      <c r="A449" s="539" t="n"/>
      <c r="B449" s="539" t="n"/>
      <c r="C449" s="571" t="n"/>
      <c r="D449" s="533" t="n"/>
      <c r="E449" s="533" t="n"/>
      <c r="F449" s="533" t="n"/>
      <c r="G449" s="533" t="n"/>
      <c r="H449" s="533" t="n"/>
    </row>
    <row r="450" ht="24" customHeight="1">
      <c r="A450" s="539" t="n"/>
      <c r="B450" s="539" t="n"/>
      <c r="C450" s="571" t="n"/>
      <c r="D450" s="533" t="n"/>
      <c r="E450" s="533" t="n"/>
      <c r="F450" s="533" t="n"/>
      <c r="G450" s="533" t="n"/>
      <c r="H450" s="533" t="n"/>
    </row>
    <row r="451" ht="24" customHeight="1">
      <c r="A451" s="539" t="n"/>
      <c r="B451" s="539" t="n"/>
      <c r="C451" s="571" t="n"/>
      <c r="D451" s="533" t="n"/>
      <c r="E451" s="533" t="n"/>
      <c r="F451" s="533" t="n"/>
      <c r="G451" s="533" t="n"/>
      <c r="H451" s="533" t="n"/>
    </row>
    <row r="452" ht="24" customHeight="1">
      <c r="A452" s="539" t="n"/>
      <c r="B452" s="539" t="n"/>
      <c r="C452" s="571" t="n"/>
      <c r="D452" s="533" t="n"/>
      <c r="E452" s="533" t="n"/>
      <c r="F452" s="533" t="n"/>
      <c r="G452" s="533" t="n"/>
      <c r="H452" s="533" t="n"/>
    </row>
    <row r="453" ht="24" customHeight="1">
      <c r="A453" s="539" t="n"/>
      <c r="B453" s="539" t="n"/>
      <c r="C453" s="571" t="n"/>
      <c r="D453" s="533" t="n"/>
      <c r="E453" s="533" t="n"/>
      <c r="F453" s="533" t="n"/>
      <c r="G453" s="533" t="n"/>
      <c r="H453" s="533" t="n"/>
    </row>
    <row r="454" ht="24" customHeight="1">
      <c r="A454" s="539" t="n"/>
      <c r="B454" s="539" t="n"/>
      <c r="C454" s="571" t="n"/>
      <c r="D454" s="533" t="n"/>
      <c r="E454" s="533" t="n"/>
      <c r="F454" s="533" t="n"/>
      <c r="G454" s="533" t="n"/>
      <c r="H454" s="533" t="n"/>
    </row>
    <row r="455" ht="24" customHeight="1">
      <c r="A455" s="539" t="n"/>
      <c r="B455" s="539" t="n"/>
      <c r="C455" s="571" t="n"/>
      <c r="D455" s="533" t="n"/>
      <c r="E455" s="533" t="n"/>
      <c r="F455" s="533" t="n"/>
      <c r="G455" s="533" t="n"/>
      <c r="H455" s="533" t="n"/>
    </row>
    <row r="456" ht="24" customHeight="1">
      <c r="A456" s="539" t="n"/>
      <c r="B456" s="539" t="n"/>
      <c r="C456" s="571" t="n"/>
      <c r="D456" s="533" t="n"/>
      <c r="E456" s="533" t="n"/>
      <c r="F456" s="533" t="n"/>
      <c r="G456" s="533" t="n"/>
      <c r="H456" s="533" t="n"/>
    </row>
    <row r="457" ht="24" customHeight="1">
      <c r="A457" s="539" t="n"/>
      <c r="B457" s="539" t="n"/>
      <c r="C457" s="571" t="n"/>
      <c r="D457" s="533" t="n"/>
      <c r="E457" s="533" t="n"/>
      <c r="F457" s="533" t="n"/>
      <c r="G457" s="533" t="n"/>
      <c r="H457" s="533" t="n"/>
    </row>
    <row r="458" ht="24" customHeight="1">
      <c r="A458" s="539" t="n"/>
      <c r="B458" s="539" t="n"/>
      <c r="C458" s="571" t="n"/>
      <c r="D458" s="533" t="n"/>
      <c r="E458" s="533" t="n"/>
      <c r="F458" s="533" t="n"/>
      <c r="G458" s="533" t="n"/>
      <c r="H458" s="533" t="n"/>
    </row>
    <row r="459" ht="24" customHeight="1">
      <c r="A459" s="539" t="n"/>
      <c r="B459" s="539" t="n"/>
      <c r="C459" s="571" t="n"/>
      <c r="D459" s="533" t="n"/>
      <c r="E459" s="533" t="n"/>
      <c r="F459" s="533" t="n"/>
      <c r="G459" s="533" t="n"/>
      <c r="H459" s="533" t="n"/>
    </row>
    <row r="460" ht="24" customHeight="1">
      <c r="A460" s="539" t="n"/>
      <c r="B460" s="539" t="n"/>
      <c r="C460" s="571" t="n"/>
      <c r="D460" s="533" t="n"/>
      <c r="E460" s="533" t="n"/>
      <c r="F460" s="533" t="n"/>
      <c r="G460" s="533" t="n"/>
      <c r="H460" s="533" t="n"/>
    </row>
    <row r="461" ht="24" customHeight="1">
      <c r="A461" s="539" t="n"/>
      <c r="B461" s="539" t="n"/>
      <c r="C461" s="571" t="n"/>
      <c r="D461" s="533" t="n"/>
      <c r="E461" s="533" t="n"/>
      <c r="F461" s="533" t="n"/>
      <c r="G461" s="533" t="n"/>
      <c r="H461" s="533" t="n"/>
    </row>
    <row r="462" ht="24" customHeight="1">
      <c r="A462" s="539" t="n"/>
      <c r="B462" s="539" t="n"/>
      <c r="C462" s="571" t="n"/>
      <c r="D462" s="533" t="n"/>
      <c r="E462" s="533" t="n"/>
      <c r="F462" s="533" t="n"/>
      <c r="G462" s="533" t="n"/>
      <c r="H462" s="533" t="n"/>
    </row>
    <row r="463" ht="24" customHeight="1">
      <c r="A463" s="539" t="n"/>
      <c r="B463" s="539" t="n"/>
      <c r="C463" s="571" t="n"/>
      <c r="D463" s="533" t="n"/>
      <c r="E463" s="533" t="n"/>
      <c r="F463" s="533" t="n"/>
      <c r="G463" s="533" t="n"/>
      <c r="H463" s="533" t="n"/>
    </row>
    <row r="464" ht="24" customHeight="1">
      <c r="A464" s="539" t="n"/>
      <c r="B464" s="539" t="n"/>
      <c r="C464" s="571" t="n"/>
      <c r="D464" s="533" t="n"/>
      <c r="E464" s="533" t="n"/>
      <c r="F464" s="533" t="n"/>
      <c r="G464" s="533" t="n"/>
      <c r="H464" s="533" t="n"/>
    </row>
    <row r="465" ht="24" customHeight="1">
      <c r="A465" s="539" t="n"/>
      <c r="B465" s="539" t="n"/>
      <c r="C465" s="571" t="n"/>
      <c r="D465" s="533" t="n"/>
      <c r="E465" s="533" t="n"/>
      <c r="F465" s="533" t="n"/>
      <c r="G465" s="533" t="n"/>
      <c r="H465" s="533" t="n"/>
    </row>
    <row r="466" ht="24" customHeight="1">
      <c r="A466" s="539" t="n"/>
      <c r="B466" s="539" t="n"/>
      <c r="C466" s="571" t="n"/>
      <c r="D466" s="533" t="n"/>
      <c r="E466" s="533" t="n"/>
      <c r="F466" s="533" t="n"/>
      <c r="G466" s="533" t="n"/>
      <c r="H466" s="533" t="n"/>
    </row>
    <row r="467" ht="24" customHeight="1">
      <c r="A467" s="539" t="n"/>
      <c r="B467" s="539" t="n"/>
      <c r="C467" s="571" t="n"/>
      <c r="D467" s="533" t="n"/>
      <c r="E467" s="533" t="n"/>
      <c r="F467" s="533" t="n"/>
      <c r="G467" s="533" t="n"/>
      <c r="H467" s="533" t="n"/>
    </row>
    <row r="468" ht="24" customHeight="1">
      <c r="A468" s="539" t="n"/>
      <c r="B468" s="539" t="n"/>
      <c r="C468" s="571" t="n"/>
      <c r="D468" s="533" t="n"/>
      <c r="E468" s="533" t="n"/>
      <c r="F468" s="533" t="n"/>
      <c r="G468" s="533" t="n"/>
      <c r="H468" s="533" t="n"/>
    </row>
    <row r="469" ht="24" customHeight="1">
      <c r="A469" s="539" t="n"/>
      <c r="B469" s="539" t="n"/>
      <c r="C469" s="571" t="n"/>
      <c r="D469" s="533" t="n"/>
      <c r="E469" s="533" t="n"/>
      <c r="F469" s="533" t="n"/>
      <c r="G469" s="533" t="n"/>
      <c r="H469" s="533" t="n"/>
    </row>
    <row r="470" ht="24" customHeight="1">
      <c r="A470" s="539" t="n"/>
      <c r="B470" s="539" t="n"/>
      <c r="C470" s="571" t="n"/>
      <c r="D470" s="533" t="n"/>
      <c r="E470" s="533" t="n"/>
      <c r="F470" s="533" t="n"/>
      <c r="G470" s="533" t="n"/>
      <c r="H470" s="533" t="n"/>
    </row>
    <row r="471" ht="24" customHeight="1">
      <c r="A471" s="539" t="n"/>
      <c r="B471" s="539" t="n"/>
      <c r="C471" s="571" t="n"/>
      <c r="D471" s="533" t="n"/>
      <c r="E471" s="533" t="n"/>
      <c r="F471" s="533" t="n"/>
      <c r="G471" s="533" t="n"/>
      <c r="H471" s="533" t="n"/>
    </row>
    <row r="472" ht="24" customHeight="1">
      <c r="A472" s="539" t="n"/>
      <c r="B472" s="539" t="n"/>
      <c r="C472" s="571" t="n"/>
      <c r="D472" s="533" t="n"/>
      <c r="E472" s="533" t="n"/>
      <c r="F472" s="533" t="n"/>
      <c r="G472" s="533" t="n"/>
      <c r="H472" s="533" t="n"/>
    </row>
    <row r="473" ht="24" customHeight="1">
      <c r="A473" s="539" t="n"/>
      <c r="B473" s="539" t="n"/>
      <c r="C473" s="571" t="n"/>
      <c r="D473" s="533" t="n"/>
      <c r="E473" s="533" t="n"/>
      <c r="F473" s="533" t="n"/>
      <c r="G473" s="533" t="n"/>
      <c r="H473" s="533" t="n"/>
    </row>
    <row r="474" ht="24" customHeight="1">
      <c r="A474" s="539" t="n"/>
      <c r="B474" s="539" t="n"/>
      <c r="C474" s="571" t="n"/>
      <c r="D474" s="533" t="n"/>
      <c r="E474" s="533" t="n"/>
      <c r="F474" s="533" t="n"/>
      <c r="G474" s="533" t="n"/>
      <c r="H474" s="533" t="n"/>
    </row>
    <row r="475" ht="24" customHeight="1">
      <c r="A475" s="539" t="n"/>
      <c r="B475" s="539" t="n"/>
      <c r="C475" s="571" t="n"/>
      <c r="D475" s="533" t="n"/>
      <c r="E475" s="533" t="n"/>
      <c r="F475" s="533" t="n"/>
      <c r="G475" s="533" t="n"/>
      <c r="H475" s="533" t="n"/>
    </row>
    <row r="476" ht="24" customHeight="1">
      <c r="A476" s="539" t="n"/>
      <c r="B476" s="539" t="n"/>
      <c r="C476" s="571" t="n"/>
      <c r="D476" s="533" t="n"/>
      <c r="E476" s="533" t="n"/>
      <c r="F476" s="533" t="n"/>
      <c r="G476" s="533" t="n"/>
      <c r="H476" s="533" t="n"/>
    </row>
    <row r="477" ht="24" customHeight="1">
      <c r="A477" s="539" t="n"/>
      <c r="B477" s="539" t="n"/>
      <c r="C477" s="571" t="n"/>
      <c r="D477" s="533" t="n"/>
      <c r="E477" s="533" t="n"/>
      <c r="F477" s="533" t="n"/>
      <c r="G477" s="533" t="n"/>
      <c r="H477" s="533" t="n"/>
    </row>
    <row r="478" ht="24" customHeight="1">
      <c r="A478" s="539" t="n"/>
      <c r="B478" s="539" t="n"/>
      <c r="C478" s="571" t="n"/>
      <c r="D478" s="533" t="n"/>
      <c r="E478" s="533" t="n"/>
      <c r="F478" s="533" t="n"/>
      <c r="G478" s="533" t="n"/>
      <c r="H478" s="533" t="n"/>
    </row>
    <row r="479" ht="24" customHeight="1">
      <c r="A479" s="539" t="n"/>
      <c r="B479" s="539" t="n"/>
      <c r="C479" s="571" t="n"/>
      <c r="D479" s="533" t="n"/>
      <c r="E479" s="533" t="n"/>
      <c r="F479" s="533" t="n"/>
      <c r="G479" s="533" t="n"/>
      <c r="H479" s="533" t="n"/>
    </row>
    <row r="480" ht="24" customHeight="1">
      <c r="A480" s="539" t="n"/>
      <c r="B480" s="539" t="n"/>
      <c r="C480" s="571" t="n"/>
      <c r="D480" s="533" t="n"/>
      <c r="E480" s="533" t="n"/>
      <c r="F480" s="533" t="n"/>
      <c r="G480" s="533" t="n"/>
      <c r="H480" s="533" t="n"/>
    </row>
    <row r="481" ht="24" customHeight="1">
      <c r="A481" s="539" t="n"/>
      <c r="B481" s="539" t="n"/>
      <c r="C481" s="571" t="n"/>
      <c r="D481" s="533" t="n"/>
      <c r="E481" s="533" t="n"/>
      <c r="F481" s="533" t="n"/>
      <c r="G481" s="533" t="n"/>
      <c r="H481" s="533" t="n"/>
    </row>
    <row r="482" ht="24" customHeight="1">
      <c r="A482" s="539" t="n"/>
      <c r="B482" s="539" t="n"/>
      <c r="C482" s="571" t="n"/>
      <c r="D482" s="533" t="n"/>
      <c r="E482" s="533" t="n"/>
      <c r="F482" s="533" t="n"/>
      <c r="G482" s="533" t="n"/>
      <c r="H482" s="533" t="n"/>
    </row>
    <row r="483" ht="24" customHeight="1">
      <c r="A483" s="539" t="n"/>
      <c r="B483" s="539" t="n"/>
      <c r="C483" s="571" t="n"/>
      <c r="D483" s="533" t="n"/>
      <c r="E483" s="533" t="n"/>
      <c r="F483" s="533" t="n"/>
      <c r="G483" s="533" t="n"/>
      <c r="H483" s="533" t="n"/>
    </row>
    <row r="484" ht="24" customHeight="1">
      <c r="A484" s="539" t="n"/>
      <c r="B484" s="539" t="n"/>
      <c r="C484" s="571" t="n"/>
      <c r="D484" s="533" t="n"/>
      <c r="E484" s="533" t="n"/>
      <c r="F484" s="533" t="n"/>
      <c r="G484" s="533" t="n"/>
      <c r="H484" s="533" t="n"/>
    </row>
    <row r="485" ht="24" customHeight="1">
      <c r="A485" s="539" t="n"/>
      <c r="B485" s="539" t="n"/>
      <c r="C485" s="571" t="n"/>
      <c r="D485" s="533" t="n"/>
      <c r="E485" s="533" t="n"/>
      <c r="F485" s="533" t="n"/>
      <c r="G485" s="533" t="n"/>
      <c r="H485" s="533" t="n"/>
    </row>
    <row r="486" ht="24" customHeight="1">
      <c r="A486" s="539" t="n"/>
      <c r="B486" s="539" t="n"/>
      <c r="C486" s="571" t="n"/>
      <c r="D486" s="533" t="n"/>
      <c r="E486" s="533" t="n"/>
      <c r="F486" s="533" t="n"/>
      <c r="G486" s="533" t="n"/>
      <c r="H486" s="533" t="n"/>
    </row>
    <row r="487" ht="24" customHeight="1">
      <c r="A487" s="539" t="n"/>
      <c r="B487" s="539" t="n"/>
      <c r="C487" s="571" t="n"/>
      <c r="D487" s="533" t="n"/>
      <c r="E487" s="533" t="n"/>
      <c r="F487" s="533" t="n"/>
      <c r="G487" s="533" t="n"/>
      <c r="H487" s="533" t="n"/>
    </row>
    <row r="488" ht="24" customHeight="1">
      <c r="A488" s="539" t="n"/>
      <c r="B488" s="539" t="n"/>
      <c r="C488" s="571" t="n"/>
      <c r="D488" s="533" t="n"/>
      <c r="E488" s="533" t="n"/>
      <c r="F488" s="533" t="n"/>
      <c r="G488" s="533" t="n"/>
      <c r="H488" s="533" t="n"/>
    </row>
    <row r="489" ht="24" customHeight="1">
      <c r="A489" s="539" t="n"/>
      <c r="B489" s="539" t="n"/>
      <c r="C489" s="571" t="n"/>
      <c r="D489" s="533" t="n"/>
      <c r="E489" s="533" t="n"/>
      <c r="F489" s="533" t="n"/>
      <c r="G489" s="533" t="n"/>
      <c r="H489" s="533" t="n"/>
    </row>
    <row r="490" ht="24" customHeight="1">
      <c r="A490" s="539" t="n"/>
      <c r="B490" s="539" t="n"/>
      <c r="C490" s="571" t="n"/>
      <c r="D490" s="533" t="n"/>
      <c r="E490" s="533" t="n"/>
      <c r="F490" s="533" t="n"/>
      <c r="G490" s="533" t="n"/>
      <c r="H490" s="533" t="n"/>
    </row>
    <row r="491" ht="24" customHeight="1">
      <c r="A491" s="539" t="n"/>
      <c r="B491" s="539" t="n"/>
      <c r="C491" s="571" t="n"/>
      <c r="D491" s="533" t="n"/>
      <c r="E491" s="533" t="n"/>
      <c r="F491" s="533" t="n"/>
      <c r="G491" s="533" t="n"/>
      <c r="H491" s="533" t="n"/>
    </row>
    <row r="492" ht="24" customHeight="1">
      <c r="A492" s="539" t="n"/>
      <c r="B492" s="539" t="n"/>
      <c r="C492" s="571" t="n"/>
      <c r="D492" s="533" t="n"/>
      <c r="E492" s="533" t="n"/>
      <c r="F492" s="533" t="n"/>
      <c r="G492" s="533" t="n"/>
      <c r="H492" s="533" t="n"/>
    </row>
    <row r="493" ht="24" customHeight="1">
      <c r="A493" s="539" t="n"/>
      <c r="B493" s="539" t="n"/>
      <c r="C493" s="571" t="n"/>
      <c r="D493" s="533" t="n"/>
      <c r="E493" s="533" t="n"/>
      <c r="F493" s="533" t="n"/>
      <c r="G493" s="533" t="n"/>
      <c r="H493" s="533" t="n"/>
    </row>
    <row r="494" ht="24" customHeight="1">
      <c r="A494" s="539" t="n"/>
      <c r="B494" s="539" t="n"/>
      <c r="C494" s="571" t="n"/>
      <c r="D494" s="533" t="n"/>
      <c r="E494" s="533" t="n"/>
      <c r="F494" s="533" t="n"/>
      <c r="G494" s="533" t="n"/>
      <c r="H494" s="533" t="n"/>
    </row>
    <row r="495" ht="24" customHeight="1">
      <c r="A495" s="539" t="n"/>
      <c r="B495" s="539" t="n"/>
      <c r="C495" s="571" t="n"/>
      <c r="D495" s="533" t="n"/>
      <c r="E495" s="533" t="n"/>
      <c r="F495" s="533" t="n"/>
      <c r="G495" s="533" t="n"/>
      <c r="H495" s="533" t="n"/>
    </row>
    <row r="496" ht="24" customHeight="1">
      <c r="A496" s="539" t="n"/>
      <c r="B496" s="539" t="n"/>
      <c r="C496" s="571" t="n"/>
      <c r="D496" s="533" t="n"/>
      <c r="E496" s="533" t="n"/>
      <c r="F496" s="533" t="n"/>
      <c r="G496" s="533" t="n"/>
      <c r="H496" s="533" t="n"/>
    </row>
    <row r="497" ht="24" customHeight="1">
      <c r="A497" s="539" t="n"/>
      <c r="B497" s="539" t="n"/>
      <c r="C497" s="571" t="n"/>
      <c r="D497" s="533" t="n"/>
      <c r="E497" s="533" t="n"/>
      <c r="F497" s="533" t="n"/>
      <c r="G497" s="533" t="n"/>
      <c r="H497" s="533" t="n"/>
    </row>
    <row r="498" ht="24" customHeight="1">
      <c r="A498" s="539" t="n"/>
      <c r="B498" s="539" t="n"/>
      <c r="C498" s="571" t="n"/>
      <c r="D498" s="533" t="n"/>
      <c r="E498" s="533" t="n"/>
      <c r="F498" s="533" t="n"/>
      <c r="G498" s="533" t="n"/>
      <c r="H498" s="533" t="n"/>
    </row>
    <row r="499" ht="24" customHeight="1">
      <c r="A499" s="539" t="n"/>
      <c r="B499" s="539" t="n"/>
      <c r="C499" s="571" t="n"/>
      <c r="D499" s="533" t="n"/>
      <c r="E499" s="533" t="n"/>
      <c r="F499" s="533" t="n"/>
      <c r="G499" s="533" t="n"/>
      <c r="H499" s="533" t="n"/>
    </row>
    <row r="500" ht="24" customHeight="1">
      <c r="A500" s="539" t="n"/>
      <c r="B500" s="539" t="n"/>
      <c r="C500" s="571" t="n"/>
      <c r="D500" s="533" t="n"/>
      <c r="E500" s="533" t="n"/>
      <c r="F500" s="533" t="n"/>
      <c r="G500" s="533" t="n"/>
      <c r="H500" s="533" t="n"/>
    </row>
    <row r="501" ht="24" customHeight="1">
      <c r="A501" s="539" t="n"/>
      <c r="B501" s="539" t="n"/>
      <c r="C501" s="571" t="n"/>
      <c r="D501" s="533" t="n"/>
      <c r="E501" s="533" t="n"/>
      <c r="F501" s="533" t="n"/>
      <c r="G501" s="533" t="n"/>
      <c r="H501" s="533" t="n"/>
    </row>
    <row r="502" ht="24" customHeight="1">
      <c r="A502" s="539" t="n"/>
      <c r="B502" s="539" t="n"/>
      <c r="C502" s="571" t="n"/>
      <c r="D502" s="533" t="n"/>
      <c r="E502" s="533" t="n"/>
      <c r="F502" s="533" t="n"/>
      <c r="G502" s="533" t="n"/>
      <c r="H502" s="533" t="n"/>
    </row>
    <row r="503" ht="24" customHeight="1">
      <c r="A503" s="539" t="n"/>
      <c r="B503" s="539" t="n"/>
      <c r="C503" s="571" t="n"/>
      <c r="D503" s="533" t="n"/>
      <c r="E503" s="533" t="n"/>
      <c r="F503" s="533" t="n"/>
      <c r="G503" s="533" t="n"/>
      <c r="H503" s="533" t="n"/>
    </row>
    <row r="504" ht="24" customHeight="1">
      <c r="A504" s="539" t="n"/>
      <c r="B504" s="539" t="n"/>
      <c r="C504" s="571" t="n"/>
      <c r="D504" s="533" t="n"/>
      <c r="E504" s="533" t="n"/>
      <c r="F504" s="533" t="n"/>
      <c r="G504" s="533" t="n"/>
      <c r="H504" s="533" t="n"/>
    </row>
    <row r="505" ht="24" customHeight="1">
      <c r="A505" s="539" t="n"/>
      <c r="B505" s="539" t="n"/>
      <c r="C505" s="571" t="n"/>
      <c r="D505" s="533" t="n"/>
      <c r="E505" s="533" t="n"/>
      <c r="F505" s="533" t="n"/>
      <c r="G505" s="533" t="n"/>
      <c r="H505" s="533" t="n"/>
    </row>
    <row r="506" ht="24" customHeight="1">
      <c r="A506" s="539" t="n"/>
      <c r="B506" s="539" t="n"/>
      <c r="C506" s="571" t="n"/>
      <c r="D506" s="533" t="n"/>
      <c r="E506" s="533" t="n"/>
      <c r="F506" s="533" t="n"/>
      <c r="G506" s="533" t="n"/>
      <c r="H506" s="533" t="n"/>
    </row>
    <row r="507" ht="24" customHeight="1">
      <c r="A507" s="539" t="n"/>
      <c r="B507" s="539" t="n"/>
      <c r="C507" s="571" t="n"/>
      <c r="D507" s="533" t="n"/>
      <c r="E507" s="533" t="n"/>
      <c r="F507" s="533" t="n"/>
      <c r="G507" s="533" t="n"/>
      <c r="H507" s="533" t="n"/>
    </row>
    <row r="508" ht="24" customHeight="1">
      <c r="A508" s="539" t="n"/>
      <c r="B508" s="539" t="n"/>
      <c r="C508" s="571" t="n"/>
      <c r="D508" s="533" t="n"/>
      <c r="E508" s="533" t="n"/>
      <c r="F508" s="533" t="n"/>
      <c r="G508" s="533" t="n"/>
      <c r="H508" s="533" t="n"/>
    </row>
    <row r="509" ht="24" customHeight="1">
      <c r="A509" s="539" t="n"/>
      <c r="B509" s="539" t="n"/>
      <c r="C509" s="571" t="n"/>
      <c r="D509" s="533" t="n"/>
      <c r="E509" s="533" t="n"/>
      <c r="F509" s="533" t="n"/>
      <c r="G509" s="533" t="n"/>
      <c r="H509" s="533" t="n"/>
    </row>
    <row r="510" ht="24" customHeight="1">
      <c r="A510" s="539" t="n"/>
      <c r="B510" s="539" t="n"/>
      <c r="C510" s="571" t="n"/>
      <c r="D510" s="533" t="n"/>
      <c r="E510" s="533" t="n"/>
      <c r="F510" s="533" t="n"/>
      <c r="G510" s="533" t="n"/>
      <c r="H510" s="533" t="n"/>
    </row>
    <row r="511" ht="24" customHeight="1">
      <c r="A511" s="539" t="n"/>
      <c r="B511" s="539" t="n"/>
      <c r="C511" s="571" t="n"/>
      <c r="D511" s="533" t="n"/>
      <c r="E511" s="533" t="n"/>
      <c r="F511" s="533" t="n"/>
      <c r="G511" s="533" t="n"/>
      <c r="H511" s="533" t="n"/>
    </row>
    <row r="512" ht="24" customHeight="1">
      <c r="A512" s="539" t="n"/>
      <c r="B512" s="539" t="n"/>
      <c r="C512" s="571" t="n"/>
      <c r="D512" s="533" t="n"/>
      <c r="E512" s="533" t="n"/>
      <c r="F512" s="533" t="n"/>
      <c r="G512" s="533" t="n"/>
      <c r="H512" s="533" t="n"/>
    </row>
    <row r="513" ht="24" customHeight="1">
      <c r="A513" s="539" t="n"/>
      <c r="B513" s="539" t="n"/>
      <c r="C513" s="571" t="n"/>
      <c r="D513" s="533" t="n"/>
      <c r="E513" s="533" t="n"/>
      <c r="F513" s="533" t="n"/>
      <c r="G513" s="533" t="n"/>
      <c r="H513" s="533" t="n"/>
    </row>
    <row r="514" ht="24" customHeight="1">
      <c r="A514" s="539" t="n"/>
      <c r="B514" s="539" t="n"/>
      <c r="C514" s="571" t="n"/>
      <c r="D514" s="533" t="n"/>
      <c r="E514" s="533" t="n"/>
      <c r="F514" s="533" t="n"/>
      <c r="G514" s="533" t="n"/>
      <c r="H514" s="533" t="n"/>
    </row>
    <row r="515" ht="24" customHeight="1">
      <c r="A515" s="539" t="n"/>
      <c r="B515" s="539" t="n"/>
      <c r="C515" s="571" t="n"/>
      <c r="D515" s="533" t="n"/>
      <c r="E515" s="533" t="n"/>
      <c r="F515" s="533" t="n"/>
      <c r="G515" s="533" t="n"/>
      <c r="H515" s="533" t="n"/>
    </row>
    <row r="516" ht="24" customHeight="1">
      <c r="A516" s="539" t="n"/>
      <c r="B516" s="539" t="n"/>
      <c r="C516" s="571" t="n"/>
      <c r="D516" s="533" t="n"/>
      <c r="E516" s="533" t="n"/>
      <c r="F516" s="533" t="n"/>
      <c r="G516" s="533" t="n"/>
      <c r="H516" s="533" t="n"/>
    </row>
    <row r="517" ht="24" customHeight="1">
      <c r="A517" s="539" t="n"/>
      <c r="B517" s="539" t="n"/>
      <c r="C517" s="571" t="n"/>
      <c r="D517" s="533" t="n"/>
      <c r="E517" s="533" t="n"/>
      <c r="F517" s="533" t="n"/>
      <c r="G517" s="533" t="n"/>
      <c r="H517" s="533" t="n"/>
    </row>
    <row r="518" ht="24" customHeight="1">
      <c r="A518" s="539" t="n"/>
      <c r="B518" s="539" t="n"/>
      <c r="C518" s="571" t="n"/>
      <c r="D518" s="533" t="n"/>
      <c r="E518" s="533" t="n"/>
      <c r="F518" s="533" t="n"/>
      <c r="G518" s="533" t="n"/>
      <c r="H518" s="533" t="n"/>
    </row>
    <row r="519" ht="24" customHeight="1">
      <c r="A519" s="539" t="n"/>
      <c r="B519" s="539" t="n"/>
      <c r="C519" s="571" t="n"/>
      <c r="D519" s="533" t="n"/>
      <c r="E519" s="533" t="n"/>
      <c r="F519" s="533" t="n"/>
      <c r="G519" s="533" t="n"/>
      <c r="H519" s="533" t="n"/>
    </row>
    <row r="520" ht="24" customHeight="1">
      <c r="A520" s="539" t="n"/>
      <c r="B520" s="539" t="n"/>
      <c r="C520" s="571" t="n"/>
      <c r="D520" s="533" t="n"/>
      <c r="E520" s="533" t="n"/>
      <c r="F520" s="533" t="n"/>
      <c r="G520" s="533" t="n"/>
      <c r="H520" s="533" t="n"/>
    </row>
    <row r="521" ht="24" customHeight="1">
      <c r="A521" s="539" t="n"/>
      <c r="B521" s="539" t="n"/>
      <c r="C521" s="571" t="n"/>
      <c r="D521" s="533" t="n"/>
      <c r="E521" s="533" t="n"/>
      <c r="F521" s="533" t="n"/>
      <c r="G521" s="533" t="n"/>
      <c r="H521" s="533" t="n"/>
    </row>
    <row r="522" ht="24" customHeight="1">
      <c r="A522" s="539" t="n"/>
      <c r="B522" s="539" t="n"/>
      <c r="C522" s="571" t="n"/>
      <c r="D522" s="533" t="n"/>
      <c r="E522" s="533" t="n"/>
      <c r="F522" s="533" t="n"/>
      <c r="G522" s="533" t="n"/>
      <c r="H522" s="533" t="n"/>
    </row>
    <row r="523" ht="24" customHeight="1">
      <c r="A523" s="539" t="n"/>
      <c r="B523" s="539" t="n"/>
      <c r="C523" s="571" t="n"/>
      <c r="D523" s="533" t="n"/>
      <c r="E523" s="533" t="n"/>
      <c r="F523" s="533" t="n"/>
      <c r="G523" s="533" t="n"/>
      <c r="H523" s="533" t="n"/>
    </row>
    <row r="524" ht="24" customHeight="1">
      <c r="A524" s="539" t="n"/>
      <c r="B524" s="539" t="n"/>
      <c r="C524" s="571" t="n"/>
      <c r="D524" s="533" t="n"/>
      <c r="E524" s="533" t="n"/>
      <c r="F524" s="533" t="n"/>
      <c r="G524" s="533" t="n"/>
      <c r="H524" s="533" t="n"/>
    </row>
    <row r="525" ht="24" customHeight="1">
      <c r="A525" s="539" t="n"/>
      <c r="B525" s="539" t="n"/>
      <c r="C525" s="571" t="n"/>
      <c r="D525" s="533" t="n"/>
      <c r="E525" s="533" t="n"/>
      <c r="F525" s="533" t="n"/>
      <c r="G525" s="533" t="n"/>
      <c r="H525" s="533" t="n"/>
    </row>
    <row r="526" ht="24" customHeight="1">
      <c r="A526" s="539" t="n"/>
      <c r="B526" s="539" t="n"/>
      <c r="C526" s="571" t="n"/>
      <c r="D526" s="533" t="n"/>
      <c r="E526" s="533" t="n"/>
      <c r="F526" s="533" t="n"/>
      <c r="G526" s="533" t="n"/>
      <c r="H526" s="533" t="n"/>
    </row>
    <row r="527" ht="24" customHeight="1">
      <c r="A527" s="539" t="n"/>
      <c r="B527" s="539" t="n"/>
      <c r="C527" s="571" t="n"/>
      <c r="D527" s="533" t="n"/>
      <c r="E527" s="533" t="n"/>
      <c r="F527" s="533" t="n"/>
      <c r="G527" s="533" t="n"/>
      <c r="H527" s="533" t="n"/>
    </row>
    <row r="528" ht="24" customHeight="1">
      <c r="A528" s="539" t="n"/>
      <c r="B528" s="539" t="n"/>
      <c r="C528" s="571" t="n"/>
      <c r="D528" s="533" t="n"/>
      <c r="E528" s="533" t="n"/>
      <c r="F528" s="533" t="n"/>
      <c r="G528" s="533" t="n"/>
      <c r="H528" s="533" t="n"/>
    </row>
    <row r="529" ht="24" customHeight="1">
      <c r="A529" s="539" t="n"/>
      <c r="B529" s="539" t="n"/>
      <c r="C529" s="571" t="n"/>
      <c r="D529" s="533" t="n"/>
      <c r="E529" s="533" t="n"/>
      <c r="F529" s="533" t="n"/>
      <c r="G529" s="533" t="n"/>
      <c r="H529" s="533" t="n"/>
    </row>
    <row r="530" ht="24" customHeight="1">
      <c r="A530" s="539" t="n"/>
      <c r="B530" s="539" t="n"/>
      <c r="C530" s="571" t="n"/>
      <c r="D530" s="533" t="n"/>
      <c r="E530" s="533" t="n"/>
      <c r="F530" s="533" t="n"/>
      <c r="G530" s="533" t="n"/>
      <c r="H530" s="533" t="n"/>
    </row>
    <row r="531" ht="24" customHeight="1">
      <c r="A531" s="539" t="n"/>
      <c r="B531" s="539" t="n"/>
      <c r="C531" s="571" t="n"/>
      <c r="D531" s="533" t="n"/>
      <c r="E531" s="533" t="n"/>
      <c r="F531" s="533" t="n"/>
      <c r="G531" s="533" t="n"/>
      <c r="H531" s="533" t="n"/>
    </row>
    <row r="532" ht="24" customHeight="1">
      <c r="A532" s="539" t="n"/>
      <c r="B532" s="539" t="n"/>
      <c r="C532" s="571" t="n"/>
      <c r="D532" s="533" t="n"/>
      <c r="E532" s="533" t="n"/>
      <c r="F532" s="533" t="n"/>
      <c r="G532" s="533" t="n"/>
      <c r="H532" s="533" t="n"/>
    </row>
    <row r="533" ht="24" customHeight="1">
      <c r="A533" s="539" t="n"/>
      <c r="B533" s="539" t="n"/>
      <c r="C533" s="571" t="n"/>
      <c r="D533" s="533" t="n"/>
      <c r="E533" s="533" t="n"/>
      <c r="F533" s="533" t="n"/>
      <c r="G533" s="533" t="n"/>
      <c r="H533" s="533" t="n"/>
    </row>
    <row r="534" ht="24" customHeight="1">
      <c r="A534" s="539" t="n"/>
      <c r="B534" s="539" t="n"/>
      <c r="C534" s="571" t="n"/>
      <c r="D534" s="533" t="n"/>
      <c r="E534" s="533" t="n"/>
      <c r="F534" s="533" t="n"/>
      <c r="G534" s="533" t="n"/>
      <c r="H534" s="533" t="n"/>
    </row>
    <row r="535" ht="24" customHeight="1">
      <c r="A535" s="539" t="n"/>
      <c r="B535" s="539" t="n"/>
      <c r="C535" s="571" t="n"/>
      <c r="D535" s="533" t="n"/>
      <c r="E535" s="533" t="n"/>
      <c r="F535" s="533" t="n"/>
      <c r="G535" s="533" t="n"/>
      <c r="H535" s="533" t="n"/>
    </row>
    <row r="536" ht="24" customHeight="1">
      <c r="A536" s="539" t="n"/>
      <c r="B536" s="539" t="n"/>
      <c r="C536" s="571" t="n"/>
      <c r="D536" s="533" t="n"/>
      <c r="E536" s="533" t="n"/>
      <c r="F536" s="533" t="n"/>
      <c r="G536" s="533" t="n"/>
      <c r="H536" s="533" t="n"/>
    </row>
    <row r="537" ht="24" customHeight="1">
      <c r="A537" s="539" t="n"/>
      <c r="B537" s="539" t="n"/>
      <c r="C537" s="571" t="n"/>
      <c r="D537" s="533" t="n"/>
      <c r="E537" s="533" t="n"/>
      <c r="F537" s="533" t="n"/>
      <c r="G537" s="533" t="n"/>
      <c r="H537" s="533" t="n"/>
    </row>
    <row r="538" ht="24" customHeight="1">
      <c r="A538" s="539" t="n"/>
      <c r="B538" s="539" t="n"/>
      <c r="C538" s="571" t="n"/>
      <c r="D538" s="533" t="n"/>
      <c r="E538" s="533" t="n"/>
      <c r="F538" s="533" t="n"/>
      <c r="G538" s="533" t="n"/>
      <c r="H538" s="533" t="n"/>
    </row>
    <row r="539" ht="24" customHeight="1">
      <c r="A539" s="539" t="n"/>
      <c r="B539" s="539" t="n"/>
      <c r="C539" s="571" t="n"/>
      <c r="D539" s="533" t="n"/>
      <c r="E539" s="533" t="n"/>
      <c r="F539" s="533" t="n"/>
      <c r="G539" s="533" t="n"/>
      <c r="H539" s="533" t="n"/>
    </row>
    <row r="540" ht="24" customHeight="1">
      <c r="A540" s="539" t="n"/>
      <c r="B540" s="539" t="n"/>
      <c r="C540" s="571" t="n"/>
      <c r="D540" s="533" t="n"/>
      <c r="E540" s="533" t="n"/>
      <c r="F540" s="533" t="n"/>
      <c r="G540" s="533" t="n"/>
      <c r="H540" s="533" t="n"/>
    </row>
    <row r="541" ht="24" customHeight="1">
      <c r="A541" s="539" t="n"/>
      <c r="B541" s="539" t="n"/>
      <c r="C541" s="571" t="n"/>
      <c r="D541" s="533" t="n"/>
      <c r="E541" s="533" t="n"/>
      <c r="F541" s="533" t="n"/>
      <c r="G541" s="533" t="n"/>
      <c r="H541" s="533" t="n"/>
    </row>
    <row r="542" ht="24" customHeight="1">
      <c r="A542" s="539" t="n"/>
      <c r="B542" s="539" t="n"/>
      <c r="C542" s="571" t="n"/>
      <c r="D542" s="533" t="n"/>
      <c r="E542" s="533" t="n"/>
      <c r="F542" s="533" t="n"/>
      <c r="G542" s="533" t="n"/>
      <c r="H542" s="533" t="n"/>
    </row>
    <row r="543" ht="24" customHeight="1">
      <c r="A543" s="539" t="n"/>
      <c r="B543" s="539" t="n"/>
      <c r="C543" s="571" t="n"/>
      <c r="D543" s="533" t="n"/>
      <c r="E543" s="533" t="n"/>
      <c r="F543" s="533" t="n"/>
      <c r="G543" s="533" t="n"/>
      <c r="H543" s="533" t="n"/>
    </row>
    <row r="544" ht="24" customHeight="1">
      <c r="A544" s="539" t="n"/>
      <c r="B544" s="539" t="n"/>
      <c r="C544" s="571" t="n"/>
      <c r="D544" s="533" t="n"/>
      <c r="E544" s="533" t="n"/>
      <c r="F544" s="533" t="n"/>
      <c r="G544" s="533" t="n"/>
      <c r="H544" s="533" t="n"/>
    </row>
    <row r="545" ht="24" customHeight="1">
      <c r="A545" s="539" t="n"/>
      <c r="B545" s="539" t="n"/>
      <c r="C545" s="571" t="n"/>
      <c r="D545" s="533" t="n"/>
      <c r="E545" s="533" t="n"/>
      <c r="F545" s="533" t="n"/>
      <c r="G545" s="533" t="n"/>
      <c r="H545" s="533" t="n"/>
    </row>
    <row r="546" ht="24" customHeight="1">
      <c r="A546" s="539" t="n"/>
      <c r="B546" s="539" t="n"/>
      <c r="C546" s="571" t="n"/>
      <c r="D546" s="533" t="n"/>
      <c r="E546" s="533" t="n"/>
      <c r="F546" s="533" t="n"/>
      <c r="G546" s="533" t="n"/>
      <c r="H546" s="533" t="n"/>
    </row>
    <row r="547" ht="24" customHeight="1">
      <c r="A547" s="539" t="n"/>
      <c r="B547" s="539" t="n"/>
      <c r="C547" s="571" t="n"/>
      <c r="D547" s="533" t="n"/>
      <c r="E547" s="533" t="n"/>
      <c r="F547" s="533" t="n"/>
      <c r="G547" s="533" t="n"/>
      <c r="H547" s="533" t="n"/>
    </row>
    <row r="548" ht="24" customHeight="1">
      <c r="A548" s="539" t="n"/>
      <c r="B548" s="539" t="n"/>
      <c r="C548" s="571" t="n"/>
      <c r="D548" s="533" t="n"/>
      <c r="E548" s="533" t="n"/>
      <c r="F548" s="533" t="n"/>
      <c r="G548" s="533" t="n"/>
      <c r="H548" s="533" t="n"/>
    </row>
    <row r="549" ht="24" customHeight="1">
      <c r="A549" s="539" t="n"/>
      <c r="B549" s="539" t="n"/>
      <c r="C549" s="571" t="n"/>
      <c r="D549" s="533" t="n"/>
      <c r="E549" s="533" t="n"/>
      <c r="F549" s="533" t="n"/>
      <c r="G549" s="533" t="n"/>
      <c r="H549" s="533" t="n"/>
    </row>
    <row r="550" ht="24" customHeight="1">
      <c r="A550" s="539" t="n"/>
      <c r="B550" s="539" t="n"/>
      <c r="C550" s="571" t="n"/>
      <c r="D550" s="533" t="n"/>
      <c r="E550" s="533" t="n"/>
      <c r="F550" s="533" t="n"/>
      <c r="G550" s="533" t="n"/>
      <c r="H550" s="533" t="n"/>
    </row>
    <row r="551" ht="24" customHeight="1">
      <c r="A551" s="539" t="n"/>
      <c r="B551" s="539" t="n"/>
      <c r="C551" s="571" t="n"/>
      <c r="D551" s="533" t="n"/>
      <c r="E551" s="533" t="n"/>
      <c r="F551" s="533" t="n"/>
      <c r="G551" s="533" t="n"/>
      <c r="H551" s="533" t="n"/>
    </row>
    <row r="552" ht="24" customHeight="1">
      <c r="A552" s="539" t="n"/>
      <c r="B552" s="539" t="n"/>
      <c r="C552" s="571" t="n"/>
      <c r="D552" s="533" t="n"/>
      <c r="E552" s="533" t="n"/>
      <c r="F552" s="533" t="n"/>
      <c r="G552" s="533" t="n"/>
      <c r="H552" s="533" t="n"/>
    </row>
    <row r="553" ht="24" customHeight="1">
      <c r="A553" s="539" t="n"/>
      <c r="B553" s="539" t="n"/>
      <c r="C553" s="571" t="n"/>
      <c r="D553" s="533" t="n"/>
      <c r="E553" s="533" t="n"/>
      <c r="F553" s="533" t="n"/>
      <c r="G553" s="533" t="n"/>
      <c r="H553" s="533" t="n"/>
    </row>
    <row r="554" ht="24" customHeight="1">
      <c r="A554" s="539" t="n"/>
      <c r="B554" s="539" t="n"/>
      <c r="C554" s="571" t="n"/>
      <c r="D554" s="533" t="n"/>
      <c r="E554" s="533" t="n"/>
      <c r="F554" s="533" t="n"/>
      <c r="G554" s="533" t="n"/>
      <c r="H554" s="533" t="n"/>
    </row>
    <row r="555" ht="24" customHeight="1">
      <c r="A555" s="539" t="n"/>
      <c r="B555" s="539" t="n"/>
      <c r="C555" s="571" t="n"/>
      <c r="D555" s="533" t="n"/>
      <c r="E555" s="533" t="n"/>
      <c r="F555" s="533" t="n"/>
      <c r="G555" s="533" t="n"/>
      <c r="H555" s="533" t="n"/>
    </row>
    <row r="556" ht="24" customHeight="1">
      <c r="A556" s="539" t="n"/>
      <c r="B556" s="539" t="n"/>
      <c r="C556" s="571" t="n"/>
      <c r="D556" s="533" t="n"/>
      <c r="E556" s="533" t="n"/>
      <c r="F556" s="533" t="n"/>
      <c r="G556" s="533" t="n"/>
      <c r="H556" s="533" t="n"/>
    </row>
    <row r="557" ht="24" customHeight="1">
      <c r="A557" s="539" t="n"/>
      <c r="B557" s="539" t="n"/>
      <c r="C557" s="571" t="n"/>
      <c r="D557" s="533" t="n"/>
      <c r="E557" s="533" t="n"/>
      <c r="F557" s="533" t="n"/>
      <c r="G557" s="533" t="n"/>
      <c r="H557" s="533" t="n"/>
    </row>
    <row r="558" ht="24" customHeight="1">
      <c r="A558" s="539" t="n"/>
      <c r="B558" s="539" t="n"/>
      <c r="C558" s="571" t="n"/>
      <c r="D558" s="533" t="n"/>
      <c r="E558" s="533" t="n"/>
      <c r="F558" s="533" t="n"/>
      <c r="G558" s="533" t="n"/>
      <c r="H558" s="533" t="n"/>
    </row>
    <row r="559" ht="24" customHeight="1">
      <c r="A559" s="539" t="n"/>
      <c r="B559" s="539" t="n"/>
      <c r="C559" s="571" t="n"/>
      <c r="D559" s="533" t="n"/>
      <c r="E559" s="533" t="n"/>
      <c r="F559" s="533" t="n"/>
      <c r="G559" s="533" t="n"/>
      <c r="H559" s="533" t="n"/>
    </row>
    <row r="560" ht="24" customHeight="1">
      <c r="A560" s="539" t="n"/>
      <c r="B560" s="539" t="n"/>
      <c r="C560" s="571" t="n"/>
      <c r="D560" s="533" t="n"/>
      <c r="E560" s="533" t="n"/>
      <c r="F560" s="533" t="n"/>
      <c r="G560" s="533" t="n"/>
      <c r="H560" s="533" t="n"/>
    </row>
    <row r="561" ht="24" customHeight="1">
      <c r="A561" s="539" t="n"/>
      <c r="B561" s="539" t="n"/>
      <c r="C561" s="571" t="n"/>
      <c r="D561" s="533" t="n"/>
      <c r="E561" s="533" t="n"/>
      <c r="F561" s="533" t="n"/>
      <c r="G561" s="533" t="n"/>
      <c r="H561" s="533" t="n"/>
    </row>
    <row r="562" ht="24" customHeight="1">
      <c r="A562" s="539" t="n"/>
      <c r="B562" s="539" t="n"/>
      <c r="C562" s="571" t="n"/>
      <c r="D562" s="533" t="n"/>
      <c r="E562" s="533" t="n"/>
      <c r="F562" s="533" t="n"/>
      <c r="G562" s="533" t="n"/>
      <c r="H562" s="533" t="n"/>
    </row>
    <row r="563" ht="24" customHeight="1">
      <c r="A563" s="539" t="n"/>
      <c r="B563" s="539" t="n"/>
      <c r="C563" s="571" t="n"/>
      <c r="D563" s="533" t="n"/>
      <c r="E563" s="533" t="n"/>
      <c r="F563" s="533" t="n"/>
      <c r="G563" s="533" t="n"/>
      <c r="H563" s="533" t="n"/>
    </row>
    <row r="564" ht="24" customHeight="1">
      <c r="A564" s="539" t="n"/>
      <c r="B564" s="539" t="n"/>
      <c r="C564" s="571" t="n"/>
      <c r="D564" s="533" t="n"/>
      <c r="E564" s="533" t="n"/>
      <c r="F564" s="533" t="n"/>
      <c r="G564" s="533" t="n"/>
      <c r="H564" s="533" t="n"/>
    </row>
    <row r="565" ht="24" customHeight="1">
      <c r="A565" s="539" t="n"/>
      <c r="B565" s="539" t="n"/>
      <c r="C565" s="571" t="n"/>
      <c r="D565" s="533" t="n"/>
      <c r="E565" s="533" t="n"/>
      <c r="F565" s="533" t="n"/>
      <c r="G565" s="533" t="n"/>
      <c r="H565" s="533" t="n"/>
    </row>
    <row r="566" ht="24" customHeight="1">
      <c r="A566" s="539" t="n"/>
      <c r="B566" s="539" t="n"/>
      <c r="C566" s="571" t="n"/>
      <c r="D566" s="533" t="n"/>
      <c r="E566" s="533" t="n"/>
      <c r="F566" s="533" t="n"/>
      <c r="G566" s="533" t="n"/>
      <c r="H566" s="533" t="n"/>
    </row>
    <row r="567" ht="24" customHeight="1">
      <c r="A567" s="539" t="n"/>
      <c r="B567" s="539" t="n"/>
      <c r="C567" s="571" t="n"/>
      <c r="D567" s="533" t="n"/>
      <c r="E567" s="533" t="n"/>
      <c r="F567" s="533" t="n"/>
      <c r="G567" s="533" t="n"/>
      <c r="H567" s="533" t="n"/>
    </row>
    <row r="568" ht="24" customHeight="1">
      <c r="A568" s="539" t="n"/>
      <c r="B568" s="539" t="n"/>
      <c r="C568" s="571" t="n"/>
      <c r="D568" s="533" t="n"/>
      <c r="E568" s="533" t="n"/>
      <c r="F568" s="533" t="n"/>
      <c r="G568" s="533" t="n"/>
      <c r="H568" s="533" t="n"/>
    </row>
    <row r="569" ht="24" customHeight="1">
      <c r="A569" s="539" t="n"/>
      <c r="B569" s="539" t="n"/>
      <c r="C569" s="571" t="n"/>
      <c r="D569" s="533" t="n"/>
      <c r="E569" s="533" t="n"/>
      <c r="F569" s="533" t="n"/>
      <c r="G569" s="533" t="n"/>
      <c r="H569" s="533" t="n"/>
    </row>
    <row r="570" ht="24" customHeight="1">
      <c r="A570" s="539" t="n"/>
      <c r="B570" s="539" t="n"/>
      <c r="C570" s="571" t="n"/>
      <c r="D570" s="533" t="n"/>
      <c r="E570" s="533" t="n"/>
      <c r="F570" s="533" t="n"/>
      <c r="G570" s="533" t="n"/>
      <c r="H570" s="533" t="n"/>
    </row>
    <row r="571" ht="24" customHeight="1">
      <c r="A571" s="539" t="n"/>
      <c r="B571" s="539" t="n"/>
      <c r="C571" s="571" t="n"/>
      <c r="D571" s="533" t="n"/>
      <c r="E571" s="533" t="n"/>
      <c r="F571" s="533" t="n"/>
      <c r="G571" s="533" t="n"/>
      <c r="H571" s="533" t="n"/>
    </row>
    <row r="572" ht="24" customHeight="1">
      <c r="A572" s="539" t="n"/>
      <c r="B572" s="539" t="n"/>
      <c r="C572" s="571" t="n"/>
      <c r="D572" s="533" t="n"/>
      <c r="E572" s="533" t="n"/>
      <c r="F572" s="533" t="n"/>
      <c r="G572" s="533" t="n"/>
      <c r="H572" s="533" t="n"/>
    </row>
    <row r="573" ht="24" customHeight="1">
      <c r="A573" s="539" t="n"/>
      <c r="B573" s="539" t="n"/>
      <c r="C573" s="571" t="n"/>
      <c r="D573" s="533" t="n"/>
      <c r="E573" s="533" t="n"/>
      <c r="F573" s="533" t="n"/>
      <c r="G573" s="533" t="n"/>
      <c r="H573" s="533" t="n"/>
    </row>
    <row r="574" ht="24" customHeight="1">
      <c r="A574" s="539" t="n"/>
      <c r="B574" s="539" t="n"/>
      <c r="C574" s="571" t="n"/>
      <c r="D574" s="533" t="n"/>
      <c r="E574" s="533" t="n"/>
      <c r="F574" s="533" t="n"/>
      <c r="G574" s="533" t="n"/>
      <c r="H574" s="533" t="n"/>
    </row>
    <row r="575" ht="24" customHeight="1">
      <c r="A575" s="539" t="n"/>
      <c r="B575" s="539" t="n"/>
      <c r="C575" s="571" t="n"/>
      <c r="D575" s="533" t="n"/>
      <c r="E575" s="533" t="n"/>
      <c r="F575" s="533" t="n"/>
      <c r="G575" s="533" t="n"/>
      <c r="H575" s="533" t="n"/>
    </row>
    <row r="576" ht="24" customHeight="1">
      <c r="A576" s="539" t="n"/>
      <c r="B576" s="539" t="n"/>
      <c r="C576" s="571" t="n"/>
      <c r="D576" s="533" t="n"/>
      <c r="E576" s="533" t="n"/>
      <c r="F576" s="533" t="n"/>
      <c r="G576" s="533" t="n"/>
      <c r="H576" s="533" t="n"/>
    </row>
    <row r="577" ht="24" customHeight="1">
      <c r="A577" s="539" t="n"/>
      <c r="B577" s="539" t="n"/>
      <c r="C577" s="571" t="n"/>
      <c r="D577" s="533" t="n"/>
      <c r="E577" s="533" t="n"/>
      <c r="F577" s="533" t="n"/>
      <c r="G577" s="533" t="n"/>
      <c r="H577" s="533" t="n"/>
    </row>
    <row r="578" ht="24" customHeight="1">
      <c r="A578" s="539" t="n"/>
      <c r="B578" s="539" t="n"/>
      <c r="C578" s="571" t="n"/>
      <c r="D578" s="533" t="n"/>
      <c r="E578" s="533" t="n"/>
      <c r="F578" s="533" t="n"/>
      <c r="G578" s="533" t="n"/>
      <c r="H578" s="533" t="n"/>
    </row>
    <row r="579" ht="24" customHeight="1">
      <c r="A579" s="539" t="n"/>
      <c r="B579" s="539" t="n"/>
      <c r="C579" s="571" t="n"/>
      <c r="D579" s="533" t="n"/>
      <c r="E579" s="533" t="n"/>
      <c r="F579" s="533" t="n"/>
      <c r="G579" s="533" t="n"/>
      <c r="H579" s="533" t="n"/>
    </row>
    <row r="580" ht="24" customHeight="1">
      <c r="A580" s="539" t="n"/>
      <c r="B580" s="539" t="n"/>
      <c r="C580" s="571" t="n"/>
      <c r="D580" s="533" t="n"/>
      <c r="E580" s="533" t="n"/>
      <c r="F580" s="533" t="n"/>
      <c r="G580" s="533" t="n"/>
      <c r="H580" s="533" t="n"/>
    </row>
    <row r="581" ht="24" customHeight="1">
      <c r="A581" s="539" t="n"/>
      <c r="B581" s="539" t="n"/>
      <c r="C581" s="571" t="n"/>
      <c r="D581" s="533" t="n"/>
      <c r="E581" s="533" t="n"/>
      <c r="F581" s="533" t="n"/>
      <c r="G581" s="533" t="n"/>
      <c r="H581" s="533" t="n"/>
    </row>
    <row r="582" ht="24" customHeight="1">
      <c r="A582" s="539" t="n"/>
      <c r="B582" s="539" t="n"/>
      <c r="C582" s="571" t="n"/>
      <c r="D582" s="533" t="n"/>
      <c r="E582" s="533" t="n"/>
      <c r="F582" s="533" t="n"/>
      <c r="G582" s="533" t="n"/>
      <c r="H582" s="533" t="n"/>
    </row>
    <row r="583" ht="24" customHeight="1">
      <c r="A583" s="539" t="n"/>
      <c r="B583" s="539" t="n"/>
      <c r="C583" s="571" t="n"/>
      <c r="D583" s="533" t="n"/>
      <c r="E583" s="533" t="n"/>
      <c r="F583" s="533" t="n"/>
      <c r="G583" s="533" t="n"/>
      <c r="H583" s="533" t="n"/>
    </row>
    <row r="584" ht="24" customHeight="1">
      <c r="A584" s="539" t="n"/>
      <c r="B584" s="539" t="n"/>
      <c r="C584" s="571" t="n"/>
      <c r="D584" s="533" t="n"/>
      <c r="E584" s="533" t="n"/>
      <c r="F584" s="533" t="n"/>
      <c r="G584" s="533" t="n"/>
      <c r="H584" s="533" t="n"/>
    </row>
    <row r="585" ht="24" customHeight="1">
      <c r="A585" s="539" t="n"/>
      <c r="B585" s="539" t="n"/>
      <c r="C585" s="571" t="n"/>
      <c r="D585" s="533" t="n"/>
      <c r="E585" s="533" t="n"/>
      <c r="F585" s="533" t="n"/>
      <c r="G585" s="533" t="n"/>
      <c r="H585" s="533" t="n"/>
    </row>
    <row r="586" ht="24" customHeight="1">
      <c r="A586" s="539" t="n"/>
      <c r="B586" s="539" t="n"/>
      <c r="C586" s="571" t="n"/>
      <c r="D586" s="533" t="n"/>
      <c r="E586" s="533" t="n"/>
      <c r="F586" s="533" t="n"/>
      <c r="G586" s="533" t="n"/>
      <c r="H586" s="533" t="n"/>
    </row>
    <row r="587" ht="24" customHeight="1">
      <c r="A587" s="539" t="n"/>
      <c r="B587" s="539" t="n"/>
      <c r="C587" s="571" t="n"/>
      <c r="D587" s="533" t="n"/>
      <c r="E587" s="533" t="n"/>
      <c r="F587" s="533" t="n"/>
      <c r="G587" s="533" t="n"/>
      <c r="H587" s="533" t="n"/>
    </row>
    <row r="588" ht="24" customHeight="1">
      <c r="A588" s="539" t="n"/>
      <c r="B588" s="539" t="n"/>
      <c r="C588" s="571" t="n"/>
      <c r="D588" s="533" t="n"/>
      <c r="E588" s="533" t="n"/>
      <c r="F588" s="533" t="n"/>
      <c r="G588" s="533" t="n"/>
      <c r="H588" s="533" t="n"/>
    </row>
    <row r="589" ht="24" customHeight="1">
      <c r="A589" s="539" t="n"/>
      <c r="B589" s="539" t="n"/>
      <c r="C589" s="571" t="n"/>
      <c r="D589" s="533" t="n"/>
      <c r="E589" s="533" t="n"/>
      <c r="F589" s="533" t="n"/>
      <c r="G589" s="533" t="n"/>
      <c r="H589" s="533" t="n"/>
    </row>
    <row r="590" ht="24" customHeight="1">
      <c r="A590" s="539" t="n"/>
      <c r="B590" s="539" t="n"/>
      <c r="C590" s="571" t="n"/>
      <c r="D590" s="533" t="n"/>
      <c r="E590" s="533" t="n"/>
      <c r="F590" s="533" t="n"/>
      <c r="G590" s="533" t="n"/>
      <c r="H590" s="533" t="n"/>
    </row>
    <row r="591" ht="24" customHeight="1">
      <c r="A591" s="539" t="n"/>
      <c r="B591" s="539" t="n"/>
      <c r="C591" s="571" t="n"/>
      <c r="D591" s="533" t="n"/>
      <c r="E591" s="533" t="n"/>
      <c r="F591" s="533" t="n"/>
      <c r="G591" s="533" t="n"/>
      <c r="H591" s="533" t="n"/>
    </row>
    <row r="592" ht="24" customHeight="1">
      <c r="A592" s="539" t="n"/>
      <c r="B592" s="539" t="n"/>
      <c r="C592" s="571" t="n"/>
      <c r="D592" s="533" t="n"/>
      <c r="E592" s="533" t="n"/>
      <c r="F592" s="533" t="n"/>
      <c r="G592" s="533" t="n"/>
      <c r="H592" s="533" t="n"/>
    </row>
    <row r="593" ht="24" customHeight="1">
      <c r="A593" s="539" t="n"/>
      <c r="B593" s="539" t="n"/>
      <c r="C593" s="571" t="n"/>
      <c r="D593" s="533" t="n"/>
      <c r="E593" s="533" t="n"/>
      <c r="F593" s="533" t="n"/>
      <c r="G593" s="533" t="n"/>
      <c r="H593" s="533" t="n"/>
    </row>
    <row r="594" ht="24" customHeight="1">
      <c r="A594" s="539" t="n"/>
      <c r="B594" s="539" t="n"/>
      <c r="C594" s="571" t="n"/>
      <c r="D594" s="533" t="n"/>
      <c r="E594" s="533" t="n"/>
      <c r="F594" s="533" t="n"/>
      <c r="G594" s="533" t="n"/>
      <c r="H594" s="533" t="n"/>
    </row>
    <row r="595" ht="24" customHeight="1">
      <c r="A595" s="539" t="n"/>
      <c r="B595" s="539" t="n"/>
      <c r="C595" s="571" t="n"/>
      <c r="D595" s="533" t="n"/>
      <c r="E595" s="533" t="n"/>
      <c r="F595" s="533" t="n"/>
      <c r="G595" s="533" t="n"/>
      <c r="H595" s="533" t="n"/>
    </row>
    <row r="596" ht="24" customHeight="1">
      <c r="A596" s="539" t="n"/>
      <c r="B596" s="539" t="n"/>
      <c r="C596" s="571" t="n"/>
      <c r="D596" s="533" t="n"/>
      <c r="E596" s="533" t="n"/>
      <c r="F596" s="533" t="n"/>
      <c r="G596" s="533" t="n"/>
      <c r="H596" s="533" t="n"/>
    </row>
    <row r="597" ht="24" customHeight="1">
      <c r="A597" s="539" t="n"/>
      <c r="B597" s="539" t="n"/>
      <c r="C597" s="571" t="n"/>
      <c r="D597" s="533" t="n"/>
      <c r="E597" s="533" t="n"/>
      <c r="F597" s="533" t="n"/>
      <c r="G597" s="533" t="n"/>
      <c r="H597" s="533" t="n"/>
    </row>
    <row r="598" ht="24" customHeight="1">
      <c r="A598" s="539" t="n"/>
      <c r="B598" s="539" t="n"/>
      <c r="C598" s="571" t="n"/>
      <c r="D598" s="533" t="n"/>
      <c r="E598" s="533" t="n"/>
      <c r="F598" s="533" t="n"/>
      <c r="G598" s="533" t="n"/>
      <c r="H598" s="533" t="n"/>
    </row>
    <row r="599" ht="24" customHeight="1">
      <c r="A599" s="539" t="n"/>
      <c r="B599" s="539" t="n"/>
      <c r="C599" s="571" t="n"/>
      <c r="D599" s="533" t="n"/>
      <c r="E599" s="533" t="n"/>
      <c r="F599" s="533" t="n"/>
      <c r="G599" s="533" t="n"/>
      <c r="H599" s="533" t="n"/>
    </row>
    <row r="600" ht="24" customHeight="1">
      <c r="A600" s="539" t="n"/>
      <c r="B600" s="539" t="n"/>
      <c r="C600" s="571" t="n"/>
      <c r="D600" s="533" t="n"/>
      <c r="E600" s="533" t="n"/>
      <c r="F600" s="533" t="n"/>
      <c r="G600" s="533" t="n"/>
      <c r="H600" s="533" t="n"/>
    </row>
    <row r="601" ht="24" customHeight="1">
      <c r="A601" s="539" t="n"/>
      <c r="B601" s="539" t="n"/>
      <c r="C601" s="571" t="n"/>
      <c r="D601" s="533" t="n"/>
      <c r="E601" s="533" t="n"/>
      <c r="F601" s="533" t="n"/>
      <c r="G601" s="533" t="n"/>
      <c r="H601" s="533" t="n"/>
    </row>
    <row r="602" ht="24" customHeight="1">
      <c r="A602" s="539" t="n"/>
      <c r="B602" s="539" t="n"/>
      <c r="C602" s="571" t="n"/>
      <c r="D602" s="533" t="n"/>
      <c r="E602" s="533" t="n"/>
      <c r="F602" s="533" t="n"/>
      <c r="G602" s="533" t="n"/>
      <c r="H602" s="533" t="n"/>
    </row>
    <row r="603" ht="24" customHeight="1">
      <c r="A603" s="539" t="n"/>
      <c r="B603" s="539" t="n"/>
      <c r="C603" s="571" t="n"/>
      <c r="D603" s="533" t="n"/>
      <c r="E603" s="533" t="n"/>
      <c r="F603" s="533" t="n"/>
      <c r="G603" s="533" t="n"/>
      <c r="H603" s="533" t="n"/>
    </row>
    <row r="604" ht="24" customHeight="1">
      <c r="A604" s="539" t="n"/>
      <c r="B604" s="539" t="n"/>
      <c r="C604" s="571" t="n"/>
      <c r="D604" s="533" t="n"/>
      <c r="E604" s="533" t="n"/>
      <c r="F604" s="533" t="n"/>
      <c r="G604" s="533" t="n"/>
      <c r="H604" s="533" t="n"/>
    </row>
    <row r="605" ht="24" customHeight="1">
      <c r="A605" s="539" t="n"/>
      <c r="B605" s="539" t="n"/>
      <c r="C605" s="571" t="n"/>
      <c r="D605" s="533" t="n"/>
      <c r="E605" s="533" t="n"/>
      <c r="F605" s="533" t="n"/>
      <c r="G605" s="533" t="n"/>
      <c r="H605" s="533" t="n"/>
    </row>
    <row r="606" ht="24" customHeight="1">
      <c r="A606" s="539" t="n"/>
      <c r="B606" s="539" t="n"/>
      <c r="C606" s="571" t="n"/>
      <c r="D606" s="533" t="n"/>
      <c r="E606" s="533" t="n"/>
      <c r="F606" s="533" t="n"/>
      <c r="G606" s="533" t="n"/>
      <c r="H606" s="533" t="n"/>
    </row>
    <row r="607" ht="24" customHeight="1">
      <c r="A607" s="539" t="n"/>
      <c r="B607" s="539" t="n"/>
      <c r="C607" s="571" t="n"/>
      <c r="D607" s="533" t="n"/>
      <c r="E607" s="533" t="n"/>
      <c r="F607" s="533" t="n"/>
      <c r="G607" s="533" t="n"/>
      <c r="H607" s="533" t="n"/>
    </row>
    <row r="608" ht="24" customHeight="1">
      <c r="A608" s="539" t="n"/>
      <c r="B608" s="539" t="n"/>
      <c r="C608" s="571" t="n"/>
      <c r="D608" s="533" t="n"/>
      <c r="E608" s="533" t="n"/>
      <c r="F608" s="533" t="n"/>
      <c r="G608" s="533" t="n"/>
      <c r="H608" s="533" t="n"/>
    </row>
    <row r="609" ht="24" customHeight="1">
      <c r="A609" s="539" t="n"/>
      <c r="B609" s="539" t="n"/>
      <c r="C609" s="571" t="n"/>
      <c r="D609" s="533" t="n"/>
      <c r="E609" s="533" t="n"/>
      <c r="F609" s="533" t="n"/>
      <c r="G609" s="533" t="n"/>
      <c r="H609" s="533" t="n"/>
    </row>
    <row r="610" ht="24" customHeight="1">
      <c r="A610" s="539" t="n"/>
      <c r="B610" s="539" t="n"/>
      <c r="C610" s="571" t="n"/>
      <c r="D610" s="533" t="n"/>
      <c r="E610" s="533" t="n"/>
      <c r="F610" s="533" t="n"/>
      <c r="G610" s="533" t="n"/>
      <c r="H610" s="533" t="n"/>
    </row>
    <row r="611" ht="24" customHeight="1">
      <c r="A611" s="539" t="n"/>
      <c r="B611" s="539" t="n"/>
      <c r="C611" s="571" t="n"/>
      <c r="D611" s="533" t="n"/>
      <c r="E611" s="533" t="n"/>
      <c r="F611" s="533" t="n"/>
      <c r="G611" s="533" t="n"/>
      <c r="H611" s="533" t="n"/>
    </row>
    <row r="612" ht="24" customHeight="1">
      <c r="A612" s="539" t="n"/>
      <c r="B612" s="539" t="n"/>
      <c r="C612" s="571" t="n"/>
      <c r="D612" s="533" t="n"/>
      <c r="E612" s="533" t="n"/>
      <c r="F612" s="533" t="n"/>
      <c r="G612" s="533" t="n"/>
      <c r="H612" s="533" t="n"/>
    </row>
    <row r="613" ht="24" customHeight="1">
      <c r="A613" s="539" t="n"/>
      <c r="B613" s="539" t="n"/>
      <c r="C613" s="571" t="n"/>
      <c r="D613" s="533" t="n"/>
      <c r="E613" s="533" t="n"/>
      <c r="F613" s="533" t="n"/>
      <c r="G613" s="533" t="n"/>
      <c r="H613" s="533" t="n"/>
    </row>
    <row r="614" ht="24" customHeight="1">
      <c r="A614" s="539" t="n"/>
      <c r="B614" s="539" t="n"/>
      <c r="C614" s="571" t="n"/>
      <c r="D614" s="533" t="n"/>
      <c r="E614" s="533" t="n"/>
      <c r="F614" s="533" t="n"/>
      <c r="G614" s="533" t="n"/>
      <c r="H614" s="533" t="n"/>
    </row>
    <row r="615" ht="24" customHeight="1">
      <c r="A615" s="539" t="n"/>
      <c r="B615" s="539" t="n"/>
      <c r="C615" s="571" t="n"/>
      <c r="D615" s="533" t="n"/>
      <c r="E615" s="533" t="n"/>
      <c r="F615" s="533" t="n"/>
      <c r="G615" s="533" t="n"/>
      <c r="H615" s="533" t="n"/>
    </row>
    <row r="616" ht="24" customHeight="1">
      <c r="A616" s="539" t="n"/>
      <c r="B616" s="539" t="n"/>
      <c r="C616" s="571" t="n"/>
      <c r="D616" s="533" t="n"/>
      <c r="E616" s="533" t="n"/>
      <c r="F616" s="533" t="n"/>
      <c r="G616" s="533" t="n"/>
      <c r="H616" s="533" t="n"/>
    </row>
    <row r="617" ht="24" customHeight="1">
      <c r="A617" s="539" t="n"/>
      <c r="B617" s="539" t="n"/>
      <c r="C617" s="571" t="n"/>
      <c r="D617" s="533" t="n"/>
      <c r="E617" s="533" t="n"/>
      <c r="F617" s="533" t="n"/>
      <c r="G617" s="533" t="n"/>
      <c r="H617" s="533" t="n"/>
    </row>
    <row r="618" ht="24" customHeight="1">
      <c r="A618" s="539" t="n"/>
      <c r="B618" s="539" t="n"/>
      <c r="C618" s="571" t="n"/>
      <c r="D618" s="533" t="n"/>
      <c r="E618" s="533" t="n"/>
      <c r="F618" s="533" t="n"/>
      <c r="G618" s="533" t="n"/>
      <c r="H618" s="533" t="n"/>
    </row>
    <row r="619" ht="24" customHeight="1">
      <c r="A619" s="539" t="n"/>
      <c r="B619" s="539" t="n"/>
      <c r="C619" s="571" t="n"/>
      <c r="D619" s="533" t="n"/>
      <c r="E619" s="533" t="n"/>
      <c r="F619" s="533" t="n"/>
      <c r="G619" s="533" t="n"/>
      <c r="H619" s="533" t="n"/>
    </row>
    <row r="620" ht="24" customHeight="1">
      <c r="A620" s="539" t="n"/>
      <c r="B620" s="539" t="n"/>
      <c r="C620" s="571" t="n"/>
      <c r="D620" s="533" t="n"/>
      <c r="E620" s="533" t="n"/>
      <c r="F620" s="533" t="n"/>
      <c r="G620" s="533" t="n"/>
      <c r="H620" s="533" t="n"/>
    </row>
    <row r="621" ht="24" customHeight="1">
      <c r="A621" s="539" t="n"/>
      <c r="B621" s="539" t="n"/>
      <c r="C621" s="571" t="n"/>
      <c r="D621" s="533" t="n"/>
      <c r="E621" s="533" t="n"/>
      <c r="F621" s="533" t="n"/>
      <c r="G621" s="533" t="n"/>
      <c r="H621" s="533" t="n"/>
    </row>
    <row r="622" ht="24" customHeight="1">
      <c r="A622" s="539" t="n"/>
      <c r="B622" s="539" t="n"/>
      <c r="C622" s="571" t="n"/>
      <c r="D622" s="533" t="n"/>
      <c r="E622" s="533" t="n"/>
      <c r="F622" s="533" t="n"/>
      <c r="G622" s="533" t="n"/>
      <c r="H622" s="533" t="n"/>
    </row>
    <row r="623" ht="24" customHeight="1">
      <c r="A623" s="539" t="n"/>
      <c r="B623" s="539" t="n"/>
      <c r="C623" s="571" t="n"/>
      <c r="D623" s="533" t="n"/>
      <c r="E623" s="533" t="n"/>
      <c r="F623" s="533" t="n"/>
      <c r="G623" s="533" t="n"/>
      <c r="H623" s="533" t="n"/>
    </row>
    <row r="624" ht="24" customHeight="1">
      <c r="A624" s="539" t="n"/>
      <c r="B624" s="539" t="n"/>
      <c r="C624" s="571" t="n"/>
      <c r="D624" s="533" t="n"/>
      <c r="E624" s="533" t="n"/>
      <c r="F624" s="533" t="n"/>
      <c r="G624" s="533" t="n"/>
      <c r="H624" s="533" t="n"/>
    </row>
    <row r="625" ht="24" customHeight="1">
      <c r="A625" s="539" t="n"/>
      <c r="B625" s="539" t="n"/>
      <c r="C625" s="571" t="n"/>
      <c r="D625" s="533" t="n"/>
      <c r="E625" s="533" t="n"/>
      <c r="F625" s="533" t="n"/>
      <c r="G625" s="533" t="n"/>
      <c r="H625" s="533" t="n"/>
    </row>
    <row r="626" ht="24" customHeight="1">
      <c r="A626" s="539" t="n"/>
      <c r="B626" s="539" t="n"/>
      <c r="C626" s="571" t="n"/>
      <c r="D626" s="533" t="n"/>
      <c r="E626" s="533" t="n"/>
      <c r="F626" s="533" t="n"/>
      <c r="G626" s="533" t="n"/>
      <c r="H626" s="533" t="n"/>
    </row>
    <row r="627" ht="24" customHeight="1">
      <c r="A627" s="539" t="n"/>
      <c r="B627" s="539" t="n"/>
      <c r="C627" s="571" t="n"/>
      <c r="D627" s="533" t="n"/>
      <c r="E627" s="533" t="n"/>
      <c r="F627" s="533" t="n"/>
      <c r="G627" s="533" t="n"/>
      <c r="H627" s="533" t="n"/>
    </row>
    <row r="628" ht="24" customHeight="1">
      <c r="A628" s="539" t="n"/>
      <c r="B628" s="539" t="n"/>
      <c r="C628" s="571" t="n"/>
      <c r="D628" s="533" t="n"/>
      <c r="E628" s="533" t="n"/>
      <c r="F628" s="533" t="n"/>
      <c r="G628" s="533" t="n"/>
      <c r="H628" s="533" t="n"/>
    </row>
    <row r="629" ht="24" customHeight="1">
      <c r="A629" s="539" t="n"/>
      <c r="B629" s="539" t="n"/>
      <c r="C629" s="571" t="n"/>
      <c r="D629" s="533" t="n"/>
      <c r="E629" s="533" t="n"/>
      <c r="F629" s="533" t="n"/>
      <c r="G629" s="533" t="n"/>
      <c r="H629" s="533" t="n"/>
    </row>
    <row r="630" ht="24" customHeight="1">
      <c r="A630" s="539" t="n"/>
      <c r="B630" s="539" t="n"/>
      <c r="C630" s="571" t="n"/>
      <c r="D630" s="533" t="n"/>
      <c r="E630" s="533" t="n"/>
      <c r="F630" s="533" t="n"/>
      <c r="G630" s="533" t="n"/>
      <c r="H630" s="533" t="n"/>
    </row>
    <row r="631" ht="24" customHeight="1">
      <c r="A631" s="539" t="n"/>
      <c r="B631" s="539" t="n"/>
      <c r="C631" s="571" t="n"/>
      <c r="D631" s="533" t="n"/>
      <c r="E631" s="533" t="n"/>
      <c r="F631" s="533" t="n"/>
      <c r="G631" s="533" t="n"/>
      <c r="H631" s="533" t="n"/>
    </row>
    <row r="632" ht="24" customHeight="1">
      <c r="A632" s="539" t="n"/>
      <c r="B632" s="539" t="n"/>
      <c r="C632" s="571" t="n"/>
      <c r="D632" s="533" t="n"/>
      <c r="E632" s="533" t="n"/>
      <c r="F632" s="533" t="n"/>
      <c r="G632" s="533" t="n"/>
      <c r="H632" s="533" t="n"/>
    </row>
    <row r="633" ht="24" customHeight="1">
      <c r="A633" s="539" t="n"/>
      <c r="B633" s="539" t="n"/>
      <c r="C633" s="571" t="n"/>
      <c r="D633" s="533" t="n"/>
      <c r="E633" s="533" t="n"/>
      <c r="F633" s="533" t="n"/>
      <c r="G633" s="533" t="n"/>
      <c r="H633" s="533" t="n"/>
    </row>
    <row r="634" ht="24" customHeight="1">
      <c r="A634" s="539" t="n"/>
      <c r="B634" s="539" t="n"/>
      <c r="C634" s="571" t="n"/>
      <c r="D634" s="533" t="n"/>
      <c r="E634" s="533" t="n"/>
      <c r="F634" s="533" t="n"/>
      <c r="G634" s="533" t="n"/>
      <c r="H634" s="533" t="n"/>
    </row>
    <row r="635" ht="24" customHeight="1">
      <c r="A635" s="539" t="n"/>
      <c r="B635" s="539" t="n"/>
      <c r="C635" s="571" t="n"/>
      <c r="D635" s="533" t="n"/>
      <c r="E635" s="533" t="n"/>
      <c r="F635" s="533" t="n"/>
      <c r="G635" s="533" t="n"/>
      <c r="H635" s="533" t="n"/>
    </row>
    <row r="636" ht="24" customHeight="1">
      <c r="A636" s="539" t="n"/>
      <c r="B636" s="539" t="n"/>
      <c r="C636" s="571" t="n"/>
      <c r="D636" s="533" t="n"/>
      <c r="E636" s="533" t="n"/>
      <c r="F636" s="533" t="n"/>
      <c r="G636" s="533" t="n"/>
      <c r="H636" s="533" t="n"/>
    </row>
    <row r="637" ht="24" customHeight="1">
      <c r="A637" s="539" t="n"/>
      <c r="B637" s="539" t="n"/>
      <c r="C637" s="571" t="n"/>
      <c r="D637" s="533" t="n"/>
      <c r="E637" s="533" t="n"/>
      <c r="F637" s="533" t="n"/>
      <c r="G637" s="533" t="n"/>
      <c r="H637" s="533" t="n"/>
    </row>
    <row r="638" ht="24" customHeight="1">
      <c r="A638" s="539" t="n"/>
      <c r="B638" s="539" t="n"/>
      <c r="C638" s="571" t="n"/>
      <c r="D638" s="533" t="n"/>
      <c r="E638" s="533" t="n"/>
      <c r="F638" s="533" t="n"/>
      <c r="G638" s="533" t="n"/>
      <c r="H638" s="533" t="n"/>
    </row>
    <row r="639" ht="24" customHeight="1">
      <c r="A639" s="539" t="n"/>
      <c r="B639" s="539" t="n"/>
      <c r="C639" s="571" t="n"/>
      <c r="D639" s="533" t="n"/>
      <c r="E639" s="533" t="n"/>
      <c r="F639" s="533" t="n"/>
      <c r="G639" s="533" t="n"/>
      <c r="H639" s="533" t="n"/>
    </row>
    <row r="640" ht="24" customHeight="1">
      <c r="A640" s="539" t="n"/>
      <c r="B640" s="539" t="n"/>
      <c r="C640" s="571" t="n"/>
      <c r="D640" s="533" t="n"/>
      <c r="E640" s="533" t="n"/>
      <c r="F640" s="533" t="n"/>
      <c r="G640" s="533" t="n"/>
      <c r="H640" s="533" t="n"/>
    </row>
    <row r="641" ht="24" customHeight="1">
      <c r="A641" s="539" t="n"/>
      <c r="B641" s="539" t="n"/>
      <c r="C641" s="571" t="n"/>
      <c r="D641" s="533" t="n"/>
      <c r="E641" s="533" t="n"/>
      <c r="F641" s="533" t="n"/>
      <c r="G641" s="533" t="n"/>
      <c r="H641" s="533" t="n"/>
    </row>
    <row r="642" ht="24" customHeight="1">
      <c r="A642" s="539" t="n"/>
      <c r="B642" s="539" t="n"/>
      <c r="C642" s="571" t="n"/>
      <c r="D642" s="533" t="n"/>
      <c r="E642" s="533" t="n"/>
      <c r="F642" s="533" t="n"/>
      <c r="G642" s="533" t="n"/>
      <c r="H642" s="533" t="n"/>
    </row>
    <row r="643" ht="24" customHeight="1">
      <c r="A643" s="539" t="n"/>
      <c r="B643" s="539" t="n"/>
      <c r="C643" s="571" t="n"/>
      <c r="D643" s="533" t="n"/>
      <c r="E643" s="533" t="n"/>
      <c r="F643" s="533" t="n"/>
      <c r="G643" s="533" t="n"/>
      <c r="H643" s="533" t="n"/>
    </row>
    <row r="644" ht="24" customHeight="1">
      <c r="A644" s="539" t="n"/>
      <c r="B644" s="539" t="n"/>
      <c r="C644" s="571" t="n"/>
      <c r="D644" s="533" t="n"/>
      <c r="E644" s="533" t="n"/>
      <c r="F644" s="533" t="n"/>
      <c r="G644" s="533" t="n"/>
      <c r="H644" s="533" t="n"/>
    </row>
    <row r="645" ht="24" customHeight="1">
      <c r="A645" s="539" t="n"/>
      <c r="B645" s="539" t="n"/>
      <c r="C645" s="571" t="n"/>
      <c r="D645" s="533" t="n"/>
      <c r="E645" s="533" t="n"/>
      <c r="F645" s="533" t="n"/>
      <c r="G645" s="533" t="n"/>
      <c r="H645" s="533" t="n"/>
    </row>
    <row r="646" ht="24" customHeight="1">
      <c r="A646" s="539" t="n"/>
      <c r="B646" s="539" t="n"/>
      <c r="C646" s="571" t="n"/>
      <c r="D646" s="533" t="n"/>
      <c r="E646" s="533" t="n"/>
      <c r="F646" s="533" t="n"/>
      <c r="G646" s="533" t="n"/>
      <c r="H646" s="533" t="n"/>
    </row>
    <row r="647" ht="24" customHeight="1">
      <c r="A647" s="539" t="n"/>
      <c r="B647" s="539" t="n"/>
      <c r="C647" s="571" t="n"/>
      <c r="D647" s="533" t="n"/>
      <c r="E647" s="533" t="n"/>
      <c r="F647" s="533" t="n"/>
      <c r="G647" s="533" t="n"/>
      <c r="H647" s="533" t="n"/>
    </row>
    <row r="648" ht="24" customHeight="1">
      <c r="A648" s="539" t="n"/>
      <c r="B648" s="539" t="n"/>
      <c r="C648" s="571" t="n"/>
      <c r="D648" s="533" t="n"/>
      <c r="E648" s="533" t="n"/>
      <c r="F648" s="533" t="n"/>
      <c r="G648" s="533" t="n"/>
      <c r="H648" s="533" t="n"/>
    </row>
    <row r="649" ht="24" customHeight="1">
      <c r="A649" s="539" t="n"/>
      <c r="B649" s="539" t="n"/>
      <c r="C649" s="571" t="n"/>
      <c r="D649" s="533" t="n"/>
      <c r="E649" s="533" t="n"/>
      <c r="F649" s="533" t="n"/>
      <c r="G649" s="533" t="n"/>
      <c r="H649" s="533" t="n"/>
    </row>
    <row r="650" ht="24" customHeight="1">
      <c r="A650" s="539" t="n"/>
      <c r="B650" s="539" t="n"/>
      <c r="C650" s="571" t="n"/>
      <c r="D650" s="533" t="n"/>
      <c r="E650" s="533" t="n"/>
      <c r="F650" s="533" t="n"/>
      <c r="G650" s="533" t="n"/>
      <c r="H650" s="533" t="n"/>
    </row>
    <row r="651" ht="24" customHeight="1">
      <c r="A651" s="539" t="n"/>
      <c r="B651" s="539" t="n"/>
      <c r="C651" s="571" t="n"/>
      <c r="D651" s="533" t="n"/>
      <c r="E651" s="533" t="n"/>
      <c r="F651" s="533" t="n"/>
      <c r="G651" s="533" t="n"/>
      <c r="H651" s="533" t="n"/>
    </row>
    <row r="652" ht="24" customHeight="1">
      <c r="A652" s="539" t="n"/>
      <c r="B652" s="539" t="n"/>
      <c r="C652" s="571" t="n"/>
      <c r="D652" s="533" t="n"/>
      <c r="E652" s="533" t="n"/>
      <c r="F652" s="533" t="n"/>
      <c r="G652" s="533" t="n"/>
      <c r="H652" s="533" t="n"/>
    </row>
    <row r="653" ht="24" customHeight="1">
      <c r="A653" s="539" t="n"/>
      <c r="B653" s="539" t="n"/>
      <c r="C653" s="571" t="n"/>
      <c r="D653" s="533" t="n"/>
      <c r="E653" s="533" t="n"/>
      <c r="F653" s="533" t="n"/>
      <c r="G653" s="533" t="n"/>
      <c r="H653" s="533" t="n"/>
    </row>
    <row r="654" ht="24" customHeight="1">
      <c r="A654" s="539" t="n"/>
      <c r="B654" s="539" t="n"/>
      <c r="C654" s="571" t="n"/>
      <c r="D654" s="533" t="n"/>
      <c r="E654" s="533" t="n"/>
      <c r="F654" s="533" t="n"/>
      <c r="G654" s="533" t="n"/>
      <c r="H654" s="533" t="n"/>
    </row>
    <row r="655" ht="24" customHeight="1">
      <c r="A655" s="539" t="n"/>
      <c r="B655" s="539" t="n"/>
      <c r="C655" s="571" t="n"/>
      <c r="D655" s="533" t="n"/>
      <c r="E655" s="533" t="n"/>
      <c r="F655" s="533" t="n"/>
      <c r="G655" s="533" t="n"/>
      <c r="H655" s="533" t="n"/>
    </row>
    <row r="656" ht="24" customHeight="1">
      <c r="A656" s="539" t="n"/>
      <c r="B656" s="539" t="n"/>
      <c r="C656" s="571" t="n"/>
      <c r="D656" s="533" t="n"/>
      <c r="E656" s="533" t="n"/>
      <c r="F656" s="533" t="n"/>
      <c r="G656" s="533" t="n"/>
      <c r="H656" s="533" t="n"/>
    </row>
    <row r="657" ht="24" customHeight="1">
      <c r="A657" s="539" t="n"/>
      <c r="B657" s="539" t="n"/>
      <c r="C657" s="571" t="n"/>
      <c r="D657" s="533" t="n"/>
      <c r="E657" s="533" t="n"/>
      <c r="F657" s="533" t="n"/>
      <c r="G657" s="533" t="n"/>
      <c r="H657" s="533" t="n"/>
    </row>
    <row r="658" ht="24" customHeight="1">
      <c r="A658" s="539" t="n"/>
      <c r="B658" s="539" t="n"/>
      <c r="C658" s="571" t="n"/>
      <c r="D658" s="533" t="n"/>
      <c r="E658" s="533" t="n"/>
      <c r="F658" s="533" t="n"/>
      <c r="G658" s="533" t="n"/>
      <c r="H658" s="533" t="n"/>
    </row>
    <row r="659" ht="24" customHeight="1">
      <c r="A659" s="539" t="n"/>
      <c r="B659" s="539" t="n"/>
      <c r="C659" s="571" t="n"/>
      <c r="D659" s="533" t="n"/>
      <c r="E659" s="533" t="n"/>
      <c r="F659" s="533" t="n"/>
      <c r="G659" s="533" t="n"/>
      <c r="H659" s="533" t="n"/>
    </row>
    <row r="660" ht="24" customHeight="1">
      <c r="A660" s="539" t="n"/>
      <c r="B660" s="539" t="n"/>
      <c r="C660" s="571" t="n"/>
      <c r="D660" s="533" t="n"/>
      <c r="E660" s="533" t="n"/>
      <c r="F660" s="533" t="n"/>
      <c r="G660" s="533" t="n"/>
      <c r="H660" s="533" t="n"/>
    </row>
    <row r="661" ht="24" customHeight="1">
      <c r="A661" s="539" t="n"/>
      <c r="B661" s="539" t="n"/>
      <c r="C661" s="571" t="n"/>
      <c r="D661" s="533" t="n"/>
      <c r="E661" s="533" t="n"/>
      <c r="F661" s="533" t="n"/>
      <c r="G661" s="533" t="n"/>
      <c r="H661" s="533" t="n"/>
    </row>
    <row r="662" ht="24" customHeight="1">
      <c r="A662" s="539" t="n"/>
      <c r="B662" s="539" t="n"/>
      <c r="C662" s="571" t="n"/>
      <c r="D662" s="533" t="n"/>
      <c r="E662" s="533" t="n"/>
      <c r="F662" s="533" t="n"/>
      <c r="G662" s="533" t="n"/>
      <c r="H662" s="533" t="n"/>
    </row>
    <row r="663" ht="24" customHeight="1">
      <c r="A663" s="539" t="n"/>
      <c r="B663" s="539" t="n"/>
      <c r="C663" s="571" t="n"/>
      <c r="D663" s="533" t="n"/>
      <c r="E663" s="533" t="n"/>
      <c r="F663" s="533" t="n"/>
      <c r="G663" s="533" t="n"/>
      <c r="H663" s="533" t="n"/>
    </row>
    <row r="664" ht="24" customHeight="1">
      <c r="A664" s="539" t="n"/>
      <c r="B664" s="539" t="n"/>
      <c r="C664" s="571" t="n"/>
      <c r="D664" s="533" t="n"/>
      <c r="E664" s="533" t="n"/>
      <c r="F664" s="533" t="n"/>
      <c r="G664" s="533" t="n"/>
      <c r="H664" s="533" t="n"/>
    </row>
    <row r="665" ht="24" customHeight="1">
      <c r="A665" s="539" t="n"/>
      <c r="B665" s="539" t="n"/>
      <c r="C665" s="571" t="n"/>
      <c r="D665" s="533" t="n"/>
      <c r="E665" s="533" t="n"/>
      <c r="F665" s="533" t="n"/>
      <c r="G665" s="533" t="n"/>
      <c r="H665" s="533" t="n"/>
    </row>
    <row r="666" ht="24" customHeight="1">
      <c r="A666" s="539" t="n"/>
      <c r="B666" s="539" t="n"/>
      <c r="C666" s="571" t="n"/>
      <c r="D666" s="533" t="n"/>
      <c r="E666" s="533" t="n"/>
      <c r="F666" s="533" t="n"/>
      <c r="G666" s="533" t="n"/>
      <c r="H666" s="533" t="n"/>
    </row>
    <row r="667" ht="24" customHeight="1">
      <c r="A667" s="539" t="n"/>
      <c r="B667" s="539" t="n"/>
      <c r="C667" s="571" t="n"/>
      <c r="D667" s="533" t="n"/>
      <c r="E667" s="533" t="n"/>
      <c r="F667" s="533" t="n"/>
      <c r="G667" s="533" t="n"/>
      <c r="H667" s="533" t="n"/>
    </row>
    <row r="668" ht="24" customHeight="1">
      <c r="A668" s="539" t="n"/>
      <c r="B668" s="539" t="n"/>
      <c r="C668" s="571" t="n"/>
      <c r="D668" s="533" t="n"/>
      <c r="E668" s="533" t="n"/>
      <c r="F668" s="533" t="n"/>
      <c r="G668" s="533" t="n"/>
      <c r="H668" s="533" t="n"/>
    </row>
    <row r="669" ht="24" customHeight="1">
      <c r="A669" s="539" t="n"/>
      <c r="B669" s="539" t="n"/>
      <c r="C669" s="571" t="n"/>
      <c r="D669" s="533" t="n"/>
      <c r="E669" s="533" t="n"/>
      <c r="F669" s="533" t="n"/>
      <c r="G669" s="533" t="n"/>
      <c r="H669" s="533" t="n"/>
    </row>
    <row r="670" ht="24" customHeight="1">
      <c r="A670" s="539" t="n"/>
      <c r="B670" s="539" t="n"/>
      <c r="C670" s="571" t="n"/>
      <c r="D670" s="533" t="n"/>
      <c r="E670" s="533" t="n"/>
      <c r="F670" s="533" t="n"/>
      <c r="G670" s="533" t="n"/>
      <c r="H670" s="533" t="n"/>
    </row>
    <row r="671" ht="24" customHeight="1">
      <c r="A671" s="539" t="n"/>
      <c r="B671" s="539" t="n"/>
      <c r="C671" s="571" t="n"/>
      <c r="D671" s="533" t="n"/>
      <c r="E671" s="533" t="n"/>
      <c r="F671" s="533" t="n"/>
      <c r="G671" s="533" t="n"/>
      <c r="H671" s="533" t="n"/>
    </row>
    <row r="672" ht="24" customHeight="1">
      <c r="A672" s="539" t="n"/>
      <c r="B672" s="539" t="n"/>
      <c r="C672" s="571" t="n"/>
      <c r="D672" s="533" t="n"/>
      <c r="E672" s="533" t="n"/>
      <c r="F672" s="533" t="n"/>
      <c r="G672" s="533" t="n"/>
      <c r="H672" s="533" t="n"/>
    </row>
    <row r="673" ht="24" customHeight="1">
      <c r="A673" s="539" t="n"/>
      <c r="B673" s="539" t="n"/>
      <c r="C673" s="571" t="n"/>
      <c r="D673" s="533" t="n"/>
      <c r="E673" s="533" t="n"/>
      <c r="F673" s="533" t="n"/>
      <c r="G673" s="533" t="n"/>
      <c r="H673" s="533" t="n"/>
    </row>
    <row r="674" ht="24" customHeight="1">
      <c r="A674" s="539" t="n"/>
      <c r="B674" s="539" t="n"/>
      <c r="C674" s="571" t="n"/>
      <c r="D674" s="533" t="n"/>
      <c r="E674" s="533" t="n"/>
      <c r="F674" s="533" t="n"/>
      <c r="G674" s="533" t="n"/>
      <c r="H674" s="533" t="n"/>
    </row>
    <row r="675" ht="24" customHeight="1">
      <c r="A675" s="539" t="n"/>
      <c r="B675" s="539" t="n"/>
      <c r="C675" s="571" t="n"/>
      <c r="D675" s="533" t="n"/>
      <c r="E675" s="533" t="n"/>
      <c r="F675" s="533" t="n"/>
      <c r="G675" s="533" t="n"/>
      <c r="H675" s="533" t="n"/>
    </row>
    <row r="676" ht="24" customHeight="1">
      <c r="A676" s="539" t="n"/>
      <c r="B676" s="539" t="n"/>
      <c r="C676" s="571" t="n"/>
      <c r="D676" s="533" t="n"/>
      <c r="E676" s="533" t="n"/>
      <c r="F676" s="533" t="n"/>
      <c r="G676" s="533" t="n"/>
      <c r="H676" s="533" t="n"/>
    </row>
    <row r="677" ht="24" customHeight="1">
      <c r="A677" s="539" t="n"/>
      <c r="B677" s="539" t="n"/>
      <c r="C677" s="571" t="n"/>
      <c r="D677" s="533" t="n"/>
      <c r="E677" s="533" t="n"/>
      <c r="F677" s="533" t="n"/>
      <c r="G677" s="533" t="n"/>
      <c r="H677" s="533" t="n"/>
    </row>
    <row r="678" ht="24" customHeight="1">
      <c r="A678" s="539" t="n"/>
      <c r="B678" s="539" t="n"/>
      <c r="C678" s="571" t="n"/>
      <c r="D678" s="533" t="n"/>
      <c r="E678" s="533" t="n"/>
      <c r="F678" s="533" t="n"/>
      <c r="G678" s="533" t="n"/>
      <c r="H678" s="533" t="n"/>
    </row>
    <row r="679" ht="24" customHeight="1">
      <c r="A679" s="539" t="n"/>
      <c r="B679" s="539" t="n"/>
      <c r="C679" s="571" t="n"/>
      <c r="D679" s="533" t="n"/>
      <c r="E679" s="533" t="n"/>
      <c r="F679" s="533" t="n"/>
      <c r="G679" s="533" t="n"/>
      <c r="H679" s="533" t="n"/>
    </row>
    <row r="680" ht="24" customHeight="1">
      <c r="A680" s="539" t="n"/>
      <c r="B680" s="539" t="n"/>
      <c r="C680" s="571" t="n"/>
      <c r="D680" s="533" t="n"/>
      <c r="E680" s="533" t="n"/>
      <c r="F680" s="533" t="n"/>
      <c r="G680" s="533" t="n"/>
      <c r="H680" s="533" t="n"/>
    </row>
    <row r="681" ht="24" customHeight="1">
      <c r="A681" s="539" t="n"/>
      <c r="B681" s="539" t="n"/>
      <c r="C681" s="571" t="n"/>
      <c r="D681" s="533" t="n"/>
      <c r="E681" s="533" t="n"/>
      <c r="F681" s="533" t="n"/>
      <c r="G681" s="533" t="n"/>
      <c r="H681" s="533" t="n"/>
    </row>
    <row r="682" ht="24" customHeight="1">
      <c r="A682" s="539" t="n"/>
      <c r="B682" s="539" t="n"/>
      <c r="C682" s="571" t="n"/>
      <c r="D682" s="533" t="n"/>
      <c r="E682" s="533" t="n"/>
      <c r="F682" s="533" t="n"/>
      <c r="G682" s="533" t="n"/>
      <c r="H682" s="533" t="n"/>
    </row>
    <row r="683" ht="24" customHeight="1">
      <c r="A683" s="539" t="n"/>
      <c r="B683" s="539" t="n"/>
      <c r="C683" s="571" t="n"/>
      <c r="D683" s="533" t="n"/>
      <c r="E683" s="533" t="n"/>
      <c r="F683" s="533" t="n"/>
      <c r="G683" s="533" t="n"/>
      <c r="H683" s="533" t="n"/>
    </row>
    <row r="684" ht="24" customHeight="1">
      <c r="A684" s="539" t="n"/>
      <c r="B684" s="539" t="n"/>
      <c r="C684" s="571" t="n"/>
      <c r="D684" s="533" t="n"/>
      <c r="E684" s="533" t="n"/>
      <c r="F684" s="533" t="n"/>
      <c r="G684" s="533" t="n"/>
      <c r="H684" s="533" t="n"/>
    </row>
    <row r="685" ht="24" customHeight="1">
      <c r="A685" s="539" t="n"/>
      <c r="B685" s="539" t="n"/>
      <c r="C685" s="571" t="n"/>
      <c r="D685" s="533" t="n"/>
      <c r="E685" s="533" t="n"/>
      <c r="F685" s="533" t="n"/>
      <c r="G685" s="533" t="n"/>
      <c r="H685" s="533" t="n"/>
    </row>
    <row r="686" ht="24" customHeight="1">
      <c r="A686" s="539" t="n"/>
      <c r="B686" s="539" t="n"/>
      <c r="C686" s="571" t="n"/>
      <c r="D686" s="533" t="n"/>
      <c r="E686" s="533" t="n"/>
      <c r="F686" s="533" t="n"/>
      <c r="G686" s="533" t="n"/>
      <c r="H686" s="533" t="n"/>
    </row>
    <row r="687" ht="24" customHeight="1">
      <c r="A687" s="539" t="n"/>
      <c r="B687" s="539" t="n"/>
      <c r="C687" s="571" t="n"/>
      <c r="D687" s="533" t="n"/>
      <c r="E687" s="533" t="n"/>
      <c r="F687" s="533" t="n"/>
      <c r="G687" s="533" t="n"/>
      <c r="H687" s="533" t="n"/>
    </row>
    <row r="688" ht="24" customHeight="1">
      <c r="A688" s="539" t="n"/>
      <c r="B688" s="539" t="n"/>
      <c r="C688" s="571" t="n"/>
      <c r="D688" s="533" t="n"/>
      <c r="E688" s="533" t="n"/>
      <c r="F688" s="533" t="n"/>
      <c r="G688" s="533" t="n"/>
      <c r="H688" s="533" t="n"/>
    </row>
    <row r="689" ht="24" customHeight="1">
      <c r="A689" s="539" t="n"/>
      <c r="B689" s="539" t="n"/>
      <c r="C689" s="571" t="n"/>
      <c r="D689" s="533" t="n"/>
      <c r="E689" s="533" t="n"/>
      <c r="F689" s="533" t="n"/>
      <c r="G689" s="533" t="n"/>
      <c r="H689" s="533" t="n"/>
    </row>
    <row r="690" ht="24" customHeight="1">
      <c r="A690" s="539" t="n"/>
      <c r="B690" s="539" t="n"/>
      <c r="C690" s="571" t="n"/>
      <c r="D690" s="533" t="n"/>
      <c r="E690" s="533" t="n"/>
      <c r="F690" s="533" t="n"/>
      <c r="G690" s="533" t="n"/>
      <c r="H690" s="533" t="n"/>
    </row>
    <row r="691" ht="24" customHeight="1">
      <c r="A691" s="539" t="n"/>
      <c r="B691" s="539" t="n"/>
      <c r="C691" s="571" t="n"/>
      <c r="D691" s="533" t="n"/>
      <c r="E691" s="533" t="n"/>
      <c r="F691" s="533" t="n"/>
      <c r="G691" s="533" t="n"/>
      <c r="H691" s="533" t="n"/>
    </row>
    <row r="692" ht="24" customHeight="1">
      <c r="A692" s="539" t="n"/>
      <c r="B692" s="539" t="n"/>
      <c r="C692" s="571" t="n"/>
      <c r="D692" s="533" t="n"/>
      <c r="E692" s="533" t="n"/>
      <c r="F692" s="533" t="n"/>
      <c r="G692" s="533" t="n"/>
      <c r="H692" s="533" t="n"/>
    </row>
    <row r="693" ht="24" customHeight="1">
      <c r="A693" s="539" t="n"/>
      <c r="B693" s="539" t="n"/>
      <c r="C693" s="571" t="n"/>
      <c r="D693" s="533" t="n"/>
      <c r="E693" s="533" t="n"/>
      <c r="F693" s="533" t="n"/>
      <c r="G693" s="533" t="n"/>
      <c r="H693" s="533" t="n"/>
    </row>
    <row r="694" ht="24" customHeight="1">
      <c r="A694" s="539" t="n"/>
      <c r="B694" s="539" t="n"/>
      <c r="C694" s="571" t="n"/>
      <c r="D694" s="533" t="n"/>
      <c r="E694" s="533" t="n"/>
      <c r="F694" s="533" t="n"/>
      <c r="G694" s="533" t="n"/>
      <c r="H694" s="533" t="n"/>
    </row>
    <row r="695" ht="24" customHeight="1">
      <c r="A695" s="539" t="n"/>
      <c r="B695" s="539" t="n"/>
      <c r="C695" s="571" t="n"/>
      <c r="D695" s="533" t="n"/>
      <c r="E695" s="533" t="n"/>
      <c r="F695" s="533" t="n"/>
      <c r="G695" s="533" t="n"/>
      <c r="H695" s="533" t="n"/>
    </row>
    <row r="696" ht="24" customHeight="1">
      <c r="A696" s="539" t="n"/>
      <c r="B696" s="539" t="n"/>
      <c r="C696" s="571" t="n"/>
      <c r="D696" s="533" t="n"/>
      <c r="E696" s="533" t="n"/>
      <c r="F696" s="533" t="n"/>
      <c r="G696" s="533" t="n"/>
      <c r="H696" s="533" t="n"/>
    </row>
    <row r="697" ht="24" customHeight="1">
      <c r="A697" s="539" t="n"/>
      <c r="B697" s="539" t="n"/>
      <c r="C697" s="571" t="n"/>
      <c r="D697" s="533" t="n"/>
      <c r="E697" s="533" t="n"/>
      <c r="F697" s="533" t="n"/>
      <c r="G697" s="533" t="n"/>
      <c r="H697" s="533" t="n"/>
    </row>
    <row r="698" ht="24" customHeight="1">
      <c r="A698" s="539" t="n"/>
      <c r="B698" s="539" t="n"/>
      <c r="C698" s="571" t="n"/>
      <c r="D698" s="533" t="n"/>
      <c r="E698" s="533" t="n"/>
      <c r="F698" s="533" t="n"/>
      <c r="G698" s="533" t="n"/>
      <c r="H698" s="533" t="n"/>
    </row>
    <row r="699" ht="24" customHeight="1">
      <c r="A699" s="539" t="n"/>
      <c r="B699" s="539" t="n"/>
      <c r="C699" s="571" t="n"/>
      <c r="D699" s="533" t="n"/>
      <c r="E699" s="533" t="n"/>
      <c r="F699" s="533" t="n"/>
      <c r="G699" s="533" t="n"/>
      <c r="H699" s="533" t="n"/>
    </row>
    <row r="700" ht="24" customHeight="1">
      <c r="A700" s="539" t="n"/>
      <c r="B700" s="539" t="n"/>
      <c r="C700" s="571" t="n"/>
      <c r="D700" s="533" t="n"/>
      <c r="E700" s="533" t="n"/>
      <c r="F700" s="533" t="n"/>
      <c r="G700" s="533" t="n"/>
      <c r="H700" s="533" t="n"/>
    </row>
    <row r="701" ht="24" customHeight="1">
      <c r="A701" s="539" t="n"/>
      <c r="B701" s="539" t="n"/>
      <c r="C701" s="571" t="n"/>
      <c r="D701" s="533" t="n"/>
      <c r="E701" s="533" t="n"/>
      <c r="F701" s="533" t="n"/>
      <c r="G701" s="533" t="n"/>
      <c r="H701" s="533" t="n"/>
    </row>
    <row r="702" ht="24" customHeight="1">
      <c r="A702" s="539" t="n"/>
      <c r="B702" s="539" t="n"/>
      <c r="C702" s="571" t="n"/>
      <c r="D702" s="533" t="n"/>
      <c r="E702" s="533" t="n"/>
      <c r="F702" s="533" t="n"/>
      <c r="G702" s="533" t="n"/>
      <c r="H702" s="533" t="n"/>
    </row>
    <row r="703" ht="24" customHeight="1">
      <c r="A703" s="539" t="n"/>
      <c r="B703" s="539" t="n"/>
      <c r="C703" s="571" t="n"/>
      <c r="D703" s="533" t="n"/>
      <c r="E703" s="533" t="n"/>
      <c r="F703" s="533" t="n"/>
      <c r="G703" s="533" t="n"/>
      <c r="H703" s="533" t="n"/>
    </row>
    <row r="704" ht="24" customHeight="1">
      <c r="A704" s="539" t="n"/>
      <c r="B704" s="539" t="n"/>
      <c r="C704" s="571" t="n"/>
      <c r="D704" s="533" t="n"/>
      <c r="E704" s="533" t="n"/>
      <c r="F704" s="533" t="n"/>
      <c r="G704" s="533" t="n"/>
      <c r="H704" s="533" t="n"/>
    </row>
    <row r="705" ht="24" customHeight="1">
      <c r="A705" s="539" t="n"/>
      <c r="B705" s="539" t="n"/>
      <c r="C705" s="571" t="n"/>
      <c r="D705" s="533" t="n"/>
      <c r="E705" s="533" t="n"/>
      <c r="F705" s="533" t="n"/>
      <c r="G705" s="533" t="n"/>
      <c r="H705" s="533" t="n"/>
    </row>
    <row r="706" ht="24" customHeight="1">
      <c r="A706" s="539" t="n"/>
      <c r="B706" s="539" t="n"/>
      <c r="C706" s="571" t="n"/>
      <c r="D706" s="533" t="n"/>
      <c r="E706" s="533" t="n"/>
      <c r="F706" s="533" t="n"/>
      <c r="G706" s="533" t="n"/>
      <c r="H706" s="533" t="n"/>
    </row>
    <row r="707" ht="24" customHeight="1">
      <c r="A707" s="539" t="n"/>
      <c r="B707" s="539" t="n"/>
      <c r="C707" s="571" t="n"/>
      <c r="D707" s="533" t="n"/>
      <c r="E707" s="533" t="n"/>
      <c r="F707" s="533" t="n"/>
      <c r="G707" s="533" t="n"/>
      <c r="H707" s="533" t="n"/>
    </row>
    <row r="708" ht="24" customHeight="1">
      <c r="A708" s="539" t="n"/>
      <c r="B708" s="539" t="n"/>
      <c r="C708" s="571" t="n"/>
      <c r="D708" s="533" t="n"/>
      <c r="E708" s="533" t="n"/>
      <c r="F708" s="533" t="n"/>
      <c r="G708" s="533" t="n"/>
      <c r="H708" s="533" t="n"/>
    </row>
    <row r="709" ht="24" customHeight="1">
      <c r="A709" s="539" t="n"/>
      <c r="B709" s="539" t="n"/>
      <c r="C709" s="571" t="n"/>
      <c r="D709" s="533" t="n"/>
      <c r="E709" s="533" t="n"/>
      <c r="F709" s="533" t="n"/>
      <c r="G709" s="533" t="n"/>
      <c r="H709" s="533" t="n"/>
    </row>
    <row r="710" ht="24" customHeight="1">
      <c r="A710" s="539" t="n"/>
      <c r="B710" s="539" t="n"/>
      <c r="C710" s="571" t="n"/>
      <c r="D710" s="533" t="n"/>
      <c r="E710" s="533" t="n"/>
      <c r="F710" s="533" t="n"/>
      <c r="G710" s="533" t="n"/>
      <c r="H710" s="533" t="n"/>
    </row>
    <row r="711" ht="24" customHeight="1">
      <c r="A711" s="539" t="n"/>
      <c r="B711" s="539" t="n"/>
      <c r="C711" s="571" t="n"/>
      <c r="D711" s="533" t="n"/>
      <c r="E711" s="533" t="n"/>
      <c r="F711" s="533" t="n"/>
      <c r="G711" s="533" t="n"/>
      <c r="H711" s="533" t="n"/>
    </row>
    <row r="712" ht="24" customHeight="1">
      <c r="A712" s="539" t="n"/>
      <c r="B712" s="539" t="n"/>
      <c r="C712" s="571" t="n"/>
      <c r="D712" s="533" t="n"/>
      <c r="E712" s="533" t="n"/>
      <c r="F712" s="533" t="n"/>
      <c r="G712" s="533" t="n"/>
      <c r="H712" s="533" t="n"/>
    </row>
    <row r="713" ht="24" customHeight="1">
      <c r="A713" s="539" t="n"/>
      <c r="B713" s="539" t="n"/>
      <c r="C713" s="571" t="n"/>
      <c r="D713" s="533" t="n"/>
      <c r="E713" s="533" t="n"/>
      <c r="F713" s="533" t="n"/>
      <c r="G713" s="533" t="n"/>
      <c r="H713" s="533" t="n"/>
    </row>
    <row r="714" ht="24" customHeight="1">
      <c r="A714" s="539" t="n"/>
      <c r="B714" s="539" t="n"/>
      <c r="C714" s="571" t="n"/>
      <c r="D714" s="533" t="n"/>
      <c r="E714" s="533" t="n"/>
      <c r="F714" s="533" t="n"/>
      <c r="G714" s="533" t="n"/>
      <c r="H714" s="533" t="n"/>
    </row>
    <row r="715" ht="24" customHeight="1">
      <c r="A715" s="539" t="n"/>
      <c r="B715" s="539" t="n"/>
      <c r="C715" s="571" t="n"/>
      <c r="D715" s="533" t="n"/>
      <c r="E715" s="533" t="n"/>
      <c r="F715" s="533" t="n"/>
      <c r="G715" s="533" t="n"/>
      <c r="H715" s="533" t="n"/>
    </row>
    <row r="716" ht="24" customHeight="1">
      <c r="A716" s="539" t="n"/>
      <c r="B716" s="539" t="n"/>
      <c r="C716" s="571" t="n"/>
      <c r="D716" s="533" t="n"/>
      <c r="E716" s="533" t="n"/>
      <c r="F716" s="533" t="n"/>
      <c r="G716" s="533" t="n"/>
      <c r="H716" s="533" t="n"/>
    </row>
    <row r="717" ht="24" customHeight="1">
      <c r="A717" s="539" t="n"/>
      <c r="B717" s="539" t="n"/>
      <c r="C717" s="571" t="n"/>
      <c r="D717" s="533" t="n"/>
      <c r="E717" s="533" t="n"/>
      <c r="F717" s="533" t="n"/>
      <c r="G717" s="533" t="n"/>
      <c r="H717" s="533" t="n"/>
    </row>
    <row r="718" ht="24" customHeight="1">
      <c r="A718" s="539" t="n"/>
      <c r="B718" s="539" t="n"/>
      <c r="C718" s="571" t="n"/>
      <c r="D718" s="533" t="n"/>
      <c r="E718" s="533" t="n"/>
      <c r="F718" s="533" t="n"/>
      <c r="G718" s="533" t="n"/>
      <c r="H718" s="533" t="n"/>
    </row>
    <row r="719" ht="24" customHeight="1">
      <c r="A719" s="539" t="n"/>
      <c r="B719" s="539" t="n"/>
      <c r="C719" s="571" t="n"/>
      <c r="D719" s="533" t="n"/>
      <c r="E719" s="533" t="n"/>
      <c r="F719" s="533" t="n"/>
      <c r="G719" s="533" t="n"/>
      <c r="H719" s="533" t="n"/>
    </row>
    <row r="720" ht="24" customHeight="1">
      <c r="A720" s="539" t="n"/>
      <c r="B720" s="539" t="n"/>
      <c r="C720" s="571" t="n"/>
      <c r="D720" s="533" t="n"/>
      <c r="E720" s="533" t="n"/>
      <c r="F720" s="533" t="n"/>
      <c r="G720" s="533" t="n"/>
      <c r="H720" s="533" t="n"/>
    </row>
    <row r="721" ht="24" customHeight="1">
      <c r="A721" s="539" t="n"/>
      <c r="B721" s="539" t="n"/>
      <c r="C721" s="571" t="n"/>
      <c r="D721" s="533" t="n"/>
      <c r="E721" s="533" t="n"/>
      <c r="F721" s="533" t="n"/>
      <c r="G721" s="533" t="n"/>
      <c r="H721" s="533" t="n"/>
    </row>
    <row r="722" ht="24" customHeight="1">
      <c r="A722" s="539" t="n"/>
      <c r="B722" s="539" t="n"/>
      <c r="C722" s="571" t="n"/>
      <c r="D722" s="533" t="n"/>
      <c r="E722" s="533" t="n"/>
      <c r="F722" s="533" t="n"/>
      <c r="G722" s="533" t="n"/>
      <c r="H722" s="533" t="n"/>
    </row>
    <row r="723" ht="24" customHeight="1">
      <c r="A723" s="539" t="n"/>
      <c r="B723" s="539" t="n"/>
      <c r="C723" s="571" t="n"/>
      <c r="D723" s="533" t="n"/>
      <c r="E723" s="533" t="n"/>
      <c r="F723" s="533" t="n"/>
      <c r="G723" s="533" t="n"/>
      <c r="H723" s="533" t="n"/>
    </row>
    <row r="724" ht="24" customHeight="1">
      <c r="A724" s="539" t="n"/>
      <c r="B724" s="539" t="n"/>
      <c r="C724" s="571" t="n"/>
      <c r="D724" s="533" t="n"/>
      <c r="E724" s="533" t="n"/>
      <c r="F724" s="533" t="n"/>
      <c r="G724" s="533" t="n"/>
      <c r="H724" s="533" t="n"/>
    </row>
    <row r="725" ht="24" customHeight="1">
      <c r="A725" s="539" t="n"/>
      <c r="B725" s="539" t="n"/>
      <c r="C725" s="571" t="n"/>
      <c r="D725" s="533" t="n"/>
      <c r="E725" s="533" t="n"/>
      <c r="F725" s="533" t="n"/>
      <c r="G725" s="533" t="n"/>
      <c r="H725" s="533" t="n"/>
    </row>
    <row r="726" ht="24" customHeight="1">
      <c r="A726" s="539" t="n"/>
      <c r="B726" s="539" t="n"/>
      <c r="C726" s="571" t="n"/>
      <c r="D726" s="533" t="n"/>
      <c r="E726" s="533" t="n"/>
      <c r="F726" s="533" t="n"/>
      <c r="G726" s="533" t="n"/>
      <c r="H726" s="533" t="n"/>
    </row>
    <row r="727" ht="24" customHeight="1">
      <c r="A727" s="539" t="n"/>
      <c r="B727" s="539" t="n"/>
      <c r="C727" s="571" t="n"/>
      <c r="D727" s="533" t="n"/>
      <c r="E727" s="533" t="n"/>
      <c r="F727" s="533" t="n"/>
      <c r="G727" s="533" t="n"/>
      <c r="H727" s="533" t="n"/>
    </row>
    <row r="728" ht="24" customHeight="1">
      <c r="A728" s="539" t="n"/>
      <c r="B728" s="539" t="n"/>
      <c r="C728" s="571" t="n"/>
      <c r="D728" s="533" t="n"/>
      <c r="E728" s="533" t="n"/>
      <c r="F728" s="533" t="n"/>
      <c r="G728" s="533" t="n"/>
      <c r="H728" s="533" t="n"/>
    </row>
    <row r="729" ht="24" customHeight="1">
      <c r="A729" s="539" t="n"/>
      <c r="B729" s="539" t="n"/>
      <c r="C729" s="571" t="n"/>
      <c r="D729" s="533" t="n"/>
      <c r="E729" s="533" t="n"/>
      <c r="F729" s="533" t="n"/>
      <c r="G729" s="533" t="n"/>
      <c r="H729" s="533" t="n"/>
    </row>
    <row r="730" ht="24" customHeight="1">
      <c r="A730" s="539" t="n"/>
      <c r="B730" s="539" t="n"/>
      <c r="C730" s="571" t="n"/>
      <c r="D730" s="533" t="n"/>
      <c r="E730" s="533" t="n"/>
      <c r="F730" s="533" t="n"/>
      <c r="G730" s="533" t="n"/>
      <c r="H730" s="533" t="n"/>
    </row>
    <row r="731" ht="24" customHeight="1">
      <c r="A731" s="539" t="n"/>
      <c r="B731" s="539" t="n"/>
      <c r="C731" s="571" t="n"/>
      <c r="D731" s="533" t="n"/>
      <c r="E731" s="533" t="n"/>
      <c r="F731" s="533" t="n"/>
      <c r="G731" s="533" t="n"/>
      <c r="H731" s="533" t="n"/>
    </row>
    <row r="732" ht="24" customHeight="1">
      <c r="A732" s="539" t="n"/>
      <c r="B732" s="539" t="n"/>
      <c r="C732" s="571" t="n"/>
      <c r="D732" s="533" t="n"/>
      <c r="E732" s="533" t="n"/>
      <c r="F732" s="533" t="n"/>
      <c r="G732" s="533" t="n"/>
      <c r="H732" s="533" t="n"/>
    </row>
    <row r="733" ht="24" customHeight="1">
      <c r="A733" s="539" t="n"/>
      <c r="B733" s="539" t="n"/>
      <c r="C733" s="571" t="n"/>
      <c r="D733" s="533" t="n"/>
      <c r="E733" s="533" t="n"/>
      <c r="F733" s="533" t="n"/>
      <c r="G733" s="533" t="n"/>
      <c r="H733" s="533" t="n"/>
    </row>
    <row r="734" ht="24" customHeight="1">
      <c r="A734" s="539" t="n"/>
      <c r="B734" s="539" t="n"/>
      <c r="C734" s="571" t="n"/>
      <c r="D734" s="533" t="n"/>
      <c r="E734" s="533" t="n"/>
      <c r="F734" s="533" t="n"/>
      <c r="G734" s="533" t="n"/>
      <c r="H734" s="533" t="n"/>
    </row>
    <row r="735" ht="24" customHeight="1">
      <c r="A735" s="539" t="n"/>
      <c r="B735" s="539" t="n"/>
      <c r="C735" s="571" t="n"/>
      <c r="D735" s="533" t="n"/>
      <c r="E735" s="533" t="n"/>
      <c r="F735" s="533" t="n"/>
      <c r="G735" s="533" t="n"/>
      <c r="H735" s="533" t="n"/>
    </row>
    <row r="736" ht="24" customHeight="1">
      <c r="A736" s="539" t="n"/>
      <c r="B736" s="539" t="n"/>
      <c r="C736" s="571" t="n"/>
      <c r="D736" s="533" t="n"/>
      <c r="E736" s="533" t="n"/>
      <c r="F736" s="533" t="n"/>
      <c r="G736" s="533" t="n"/>
      <c r="H736" s="533" t="n"/>
    </row>
    <row r="737" ht="24" customHeight="1">
      <c r="A737" s="539" t="n"/>
      <c r="B737" s="539" t="n"/>
      <c r="C737" s="571" t="n"/>
      <c r="D737" s="533" t="n"/>
      <c r="E737" s="533" t="n"/>
      <c r="F737" s="533" t="n"/>
      <c r="G737" s="533" t="n"/>
      <c r="H737" s="533" t="n"/>
    </row>
    <row r="738" ht="24" customHeight="1">
      <c r="A738" s="539" t="n"/>
      <c r="B738" s="539" t="n"/>
      <c r="C738" s="571" t="n"/>
      <c r="D738" s="533" t="n"/>
      <c r="E738" s="533" t="n"/>
      <c r="F738" s="533" t="n"/>
      <c r="G738" s="533" t="n"/>
      <c r="H738" s="533" t="n"/>
    </row>
    <row r="739" ht="24" customHeight="1">
      <c r="A739" s="539" t="n"/>
      <c r="B739" s="539" t="n"/>
      <c r="C739" s="571" t="n"/>
      <c r="D739" s="533" t="n"/>
      <c r="E739" s="533" t="n"/>
      <c r="F739" s="533" t="n"/>
      <c r="G739" s="533" t="n"/>
      <c r="H739" s="533" t="n"/>
    </row>
    <row r="740" ht="24" customHeight="1">
      <c r="A740" s="539" t="n"/>
      <c r="B740" s="539" t="n"/>
      <c r="C740" s="571" t="n"/>
      <c r="D740" s="533" t="n"/>
      <c r="E740" s="533" t="n"/>
      <c r="F740" s="533" t="n"/>
      <c r="G740" s="533" t="n"/>
      <c r="H740" s="533" t="n"/>
    </row>
    <row r="741" ht="24" customHeight="1">
      <c r="A741" s="539" t="n"/>
      <c r="B741" s="539" t="n"/>
      <c r="C741" s="571" t="n"/>
      <c r="D741" s="533" t="n"/>
      <c r="E741" s="533" t="n"/>
      <c r="F741" s="533" t="n"/>
      <c r="G741" s="533" t="n"/>
      <c r="H741" s="533" t="n"/>
    </row>
    <row r="742" ht="24" customHeight="1">
      <c r="A742" s="539" t="n"/>
      <c r="B742" s="539" t="n"/>
      <c r="C742" s="571" t="n"/>
      <c r="D742" s="533" t="n"/>
      <c r="E742" s="533" t="n"/>
      <c r="F742" s="533" t="n"/>
      <c r="G742" s="533" t="n"/>
      <c r="H742" s="533" t="n"/>
    </row>
    <row r="743" ht="24" customHeight="1">
      <c r="A743" s="539" t="n"/>
      <c r="B743" s="539" t="n"/>
      <c r="C743" s="571" t="n"/>
      <c r="D743" s="533" t="n"/>
      <c r="E743" s="533" t="n"/>
      <c r="F743" s="533" t="n"/>
      <c r="G743" s="533" t="n"/>
      <c r="H743" s="533" t="n"/>
    </row>
    <row r="744" ht="24" customHeight="1">
      <c r="A744" s="539" t="n"/>
      <c r="B744" s="539" t="n"/>
      <c r="C744" s="571" t="n"/>
      <c r="D744" s="533" t="n"/>
      <c r="E744" s="533" t="n"/>
      <c r="F744" s="533" t="n"/>
      <c r="G744" s="533" t="n"/>
      <c r="H744" s="533" t="n"/>
    </row>
    <row r="745" ht="24" customHeight="1">
      <c r="A745" s="539" t="n"/>
      <c r="B745" s="539" t="n"/>
      <c r="C745" s="571" t="n"/>
      <c r="D745" s="533" t="n"/>
      <c r="E745" s="533" t="n"/>
      <c r="F745" s="533" t="n"/>
      <c r="G745" s="533" t="n"/>
      <c r="H745" s="533" t="n"/>
    </row>
    <row r="746" ht="24" customHeight="1">
      <c r="A746" s="539" t="n"/>
      <c r="B746" s="539" t="n"/>
      <c r="C746" s="571" t="n"/>
      <c r="D746" s="533" t="n"/>
      <c r="E746" s="533" t="n"/>
      <c r="F746" s="533" t="n"/>
      <c r="G746" s="533" t="n"/>
      <c r="H746" s="533" t="n"/>
    </row>
    <row r="747" ht="24" customHeight="1">
      <c r="A747" s="539" t="n"/>
      <c r="B747" s="539" t="n"/>
      <c r="C747" s="571" t="n"/>
      <c r="D747" s="533" t="n"/>
      <c r="E747" s="533" t="n"/>
      <c r="F747" s="533" t="n"/>
      <c r="G747" s="533" t="n"/>
      <c r="H747" s="533" t="n"/>
    </row>
    <row r="748" ht="24" customHeight="1">
      <c r="A748" s="539" t="n"/>
      <c r="B748" s="539" t="n"/>
      <c r="C748" s="571" t="n"/>
      <c r="D748" s="533" t="n"/>
      <c r="E748" s="533" t="n"/>
      <c r="F748" s="533" t="n"/>
      <c r="G748" s="533" t="n"/>
      <c r="H748" s="533" t="n"/>
    </row>
    <row r="749" ht="24" customHeight="1">
      <c r="A749" s="539" t="n"/>
      <c r="B749" s="539" t="n"/>
      <c r="C749" s="571" t="n"/>
      <c r="D749" s="533" t="n"/>
      <c r="E749" s="533" t="n"/>
      <c r="F749" s="533" t="n"/>
      <c r="G749" s="533" t="n"/>
      <c r="H749" s="533" t="n"/>
    </row>
    <row r="750" ht="24" customHeight="1">
      <c r="A750" s="539" t="n"/>
      <c r="B750" s="539" t="n"/>
      <c r="C750" s="571" t="n"/>
      <c r="D750" s="533" t="n"/>
      <c r="E750" s="533" t="n"/>
      <c r="F750" s="533" t="n"/>
      <c r="G750" s="533" t="n"/>
      <c r="H750" s="533" t="n"/>
    </row>
    <row r="751" ht="24" customHeight="1">
      <c r="A751" s="539" t="n"/>
      <c r="B751" s="539" t="n"/>
      <c r="C751" s="571" t="n"/>
      <c r="D751" s="533" t="n"/>
      <c r="E751" s="533" t="n"/>
      <c r="F751" s="533" t="n"/>
      <c r="G751" s="533" t="n"/>
      <c r="H751" s="533" t="n"/>
    </row>
    <row r="752" ht="24" customHeight="1">
      <c r="A752" s="539" t="n"/>
      <c r="B752" s="539" t="n"/>
      <c r="C752" s="571" t="n"/>
      <c r="D752" s="533" t="n"/>
      <c r="E752" s="533" t="n"/>
      <c r="F752" s="533" t="n"/>
      <c r="G752" s="533" t="n"/>
      <c r="H752" s="533" t="n"/>
    </row>
    <row r="753" ht="24" customHeight="1">
      <c r="A753" s="539" t="n"/>
      <c r="B753" s="539" t="n"/>
      <c r="C753" s="571" t="n"/>
      <c r="D753" s="533" t="n"/>
      <c r="E753" s="533" t="n"/>
      <c r="F753" s="533" t="n"/>
      <c r="G753" s="533" t="n"/>
      <c r="H753" s="533" t="n"/>
    </row>
    <row r="754" ht="24" customHeight="1">
      <c r="A754" s="539" t="n"/>
      <c r="B754" s="539" t="n"/>
      <c r="C754" s="571" t="n"/>
      <c r="D754" s="533" t="n"/>
      <c r="E754" s="533" t="n"/>
      <c r="F754" s="533" t="n"/>
      <c r="G754" s="533" t="n"/>
      <c r="H754" s="533" t="n"/>
    </row>
    <row r="755" ht="24" customHeight="1">
      <c r="A755" s="539" t="n"/>
      <c r="B755" s="539" t="n"/>
      <c r="C755" s="571" t="n"/>
      <c r="D755" s="533" t="n"/>
      <c r="E755" s="533" t="n"/>
      <c r="F755" s="533" t="n"/>
      <c r="G755" s="533" t="n"/>
      <c r="H755" s="533" t="n"/>
    </row>
    <row r="756" ht="24" customHeight="1">
      <c r="A756" s="539" t="n"/>
      <c r="B756" s="539" t="n"/>
      <c r="C756" s="571" t="n"/>
      <c r="D756" s="533" t="n"/>
      <c r="E756" s="533" t="n"/>
      <c r="F756" s="533" t="n"/>
      <c r="G756" s="533" t="n"/>
      <c r="H756" s="533" t="n"/>
    </row>
    <row r="757" ht="24" customHeight="1">
      <c r="A757" s="539" t="n"/>
      <c r="B757" s="539" t="n"/>
      <c r="C757" s="571" t="n"/>
      <c r="D757" s="533" t="n"/>
      <c r="E757" s="533" t="n"/>
      <c r="F757" s="533" t="n"/>
      <c r="G757" s="533" t="n"/>
      <c r="H757" s="533" t="n"/>
    </row>
    <row r="758" ht="24" customHeight="1">
      <c r="A758" s="539" t="n"/>
      <c r="B758" s="539" t="n"/>
      <c r="C758" s="571" t="n"/>
      <c r="D758" s="533" t="n"/>
      <c r="E758" s="533" t="n"/>
      <c r="F758" s="533" t="n"/>
      <c r="G758" s="533" t="n"/>
      <c r="H758" s="533" t="n"/>
    </row>
    <row r="759" ht="24" customHeight="1">
      <c r="A759" s="539" t="n"/>
      <c r="B759" s="539" t="n"/>
      <c r="C759" s="571" t="n"/>
      <c r="D759" s="533" t="n"/>
      <c r="E759" s="533" t="n"/>
      <c r="F759" s="533" t="n"/>
      <c r="G759" s="533" t="n"/>
      <c r="H759" s="533" t="n"/>
    </row>
    <row r="760" ht="24" customHeight="1">
      <c r="A760" s="539" t="n"/>
      <c r="B760" s="539" t="n"/>
      <c r="C760" s="571" t="n"/>
      <c r="D760" s="533" t="n"/>
      <c r="E760" s="533" t="n"/>
      <c r="F760" s="533" t="n"/>
      <c r="G760" s="533" t="n"/>
      <c r="H760" s="533" t="n"/>
    </row>
    <row r="761" ht="24" customHeight="1">
      <c r="A761" s="539" t="n"/>
      <c r="B761" s="539" t="n"/>
      <c r="C761" s="571" t="n"/>
      <c r="D761" s="533" t="n"/>
      <c r="E761" s="533" t="n"/>
      <c r="F761" s="533" t="n"/>
      <c r="G761" s="533" t="n"/>
      <c r="H761" s="533" t="n"/>
    </row>
    <row r="762" ht="24" customHeight="1">
      <c r="A762" s="539" t="n"/>
      <c r="B762" s="539" t="n"/>
      <c r="C762" s="571" t="n"/>
      <c r="D762" s="533" t="n"/>
      <c r="E762" s="533" t="n"/>
      <c r="F762" s="533" t="n"/>
      <c r="G762" s="533" t="n"/>
      <c r="H762" s="533" t="n"/>
    </row>
    <row r="763" ht="24" customHeight="1">
      <c r="A763" s="539" t="n"/>
      <c r="B763" s="539" t="n"/>
      <c r="C763" s="571" t="n"/>
      <c r="D763" s="533" t="n"/>
      <c r="E763" s="533" t="n"/>
      <c r="F763" s="533" t="n"/>
      <c r="G763" s="533" t="n"/>
      <c r="H763" s="533" t="n"/>
    </row>
    <row r="764" ht="24" customHeight="1">
      <c r="A764" s="539" t="n"/>
      <c r="B764" s="539" t="n"/>
      <c r="C764" s="571" t="n"/>
      <c r="D764" s="533" t="n"/>
      <c r="E764" s="533" t="n"/>
      <c r="F764" s="533" t="n"/>
      <c r="G764" s="533" t="n"/>
      <c r="H764" s="533" t="n"/>
    </row>
    <row r="765" ht="24" customHeight="1">
      <c r="A765" s="539" t="n"/>
      <c r="B765" s="539" t="n"/>
      <c r="C765" s="571" t="n"/>
      <c r="D765" s="533" t="n"/>
      <c r="E765" s="533" t="n"/>
      <c r="F765" s="533" t="n"/>
      <c r="G765" s="533" t="n"/>
      <c r="H765" s="533" t="n"/>
    </row>
    <row r="766" ht="24" customHeight="1">
      <c r="A766" s="539" t="n"/>
      <c r="B766" s="539" t="n"/>
      <c r="C766" s="571" t="n"/>
      <c r="D766" s="533" t="n"/>
      <c r="E766" s="533" t="n"/>
      <c r="F766" s="533" t="n"/>
      <c r="G766" s="533" t="n"/>
      <c r="H766" s="533" t="n"/>
    </row>
    <row r="767" ht="24" customHeight="1">
      <c r="A767" s="539" t="n"/>
      <c r="B767" s="539" t="n"/>
      <c r="C767" s="571" t="n"/>
      <c r="D767" s="533" t="n"/>
      <c r="E767" s="533" t="n"/>
      <c r="F767" s="533" t="n"/>
      <c r="G767" s="533" t="n"/>
      <c r="H767" s="533" t="n"/>
    </row>
    <row r="768" ht="24" customHeight="1">
      <c r="A768" s="539" t="n"/>
      <c r="B768" s="539" t="n"/>
      <c r="C768" s="571" t="n"/>
      <c r="D768" s="533" t="n"/>
      <c r="E768" s="533" t="n"/>
      <c r="F768" s="533" t="n"/>
      <c r="G768" s="533" t="n"/>
      <c r="H768" s="533" t="n"/>
    </row>
    <row r="769" ht="24" customHeight="1">
      <c r="A769" s="539" t="n"/>
      <c r="B769" s="539" t="n"/>
      <c r="C769" s="571" t="n"/>
      <c r="D769" s="533" t="n"/>
      <c r="E769" s="533" t="n"/>
      <c r="F769" s="533" t="n"/>
      <c r="G769" s="533" t="n"/>
      <c r="H769" s="533" t="n"/>
    </row>
    <row r="770" ht="24" customHeight="1">
      <c r="A770" s="539" t="n"/>
      <c r="B770" s="539" t="n"/>
      <c r="C770" s="571" t="n"/>
      <c r="D770" s="533" t="n"/>
      <c r="E770" s="533" t="n"/>
      <c r="F770" s="533" t="n"/>
      <c r="G770" s="533" t="n"/>
      <c r="H770" s="533" t="n"/>
    </row>
    <row r="771" ht="24" customHeight="1">
      <c r="A771" s="539" t="n"/>
      <c r="B771" s="539" t="n"/>
      <c r="C771" s="571" t="n"/>
      <c r="D771" s="533" t="n"/>
      <c r="E771" s="533" t="n"/>
      <c r="F771" s="533" t="n"/>
      <c r="G771" s="533" t="n"/>
      <c r="H771" s="533" t="n"/>
    </row>
    <row r="772" ht="24" customHeight="1">
      <c r="A772" s="539" t="n"/>
      <c r="B772" s="539" t="n"/>
      <c r="C772" s="571" t="n"/>
      <c r="D772" s="533" t="n"/>
      <c r="E772" s="533" t="n"/>
      <c r="F772" s="533" t="n"/>
      <c r="G772" s="533" t="n"/>
      <c r="H772" s="533" t="n"/>
    </row>
    <row r="773" ht="24" customHeight="1">
      <c r="A773" s="539" t="n"/>
      <c r="B773" s="539" t="n"/>
      <c r="C773" s="571" t="n"/>
      <c r="D773" s="533" t="n"/>
      <c r="E773" s="533" t="n"/>
      <c r="F773" s="533" t="n"/>
      <c r="G773" s="533" t="n"/>
      <c r="H773" s="533" t="n"/>
    </row>
    <row r="774" ht="24" customHeight="1">
      <c r="A774" s="539" t="n"/>
      <c r="B774" s="539" t="n"/>
      <c r="C774" s="571" t="n"/>
      <c r="D774" s="533" t="n"/>
      <c r="E774" s="533" t="n"/>
      <c r="F774" s="533" t="n"/>
      <c r="G774" s="533" t="n"/>
      <c r="H774" s="533" t="n"/>
    </row>
    <row r="775" ht="24" customHeight="1">
      <c r="A775" s="539" t="n"/>
      <c r="B775" s="539" t="n"/>
      <c r="C775" s="571" t="n"/>
      <c r="D775" s="533" t="n"/>
      <c r="E775" s="533" t="n"/>
      <c r="F775" s="533" t="n"/>
      <c r="G775" s="533" t="n"/>
      <c r="H775" s="533" t="n"/>
    </row>
    <row r="776" ht="24" customHeight="1">
      <c r="A776" s="539" t="n"/>
      <c r="B776" s="539" t="n"/>
      <c r="C776" s="571" t="n"/>
      <c r="D776" s="533" t="n"/>
      <c r="E776" s="533" t="n"/>
      <c r="F776" s="533" t="n"/>
      <c r="G776" s="533" t="n"/>
      <c r="H776" s="533" t="n"/>
    </row>
    <row r="777" ht="24" customHeight="1">
      <c r="A777" s="539" t="n"/>
      <c r="B777" s="539" t="n"/>
      <c r="C777" s="571" t="n"/>
      <c r="D777" s="533" t="n"/>
      <c r="E777" s="533" t="n"/>
      <c r="F777" s="533" t="n"/>
      <c r="G777" s="533" t="n"/>
      <c r="H777" s="533" t="n"/>
    </row>
    <row r="778" ht="24" customHeight="1">
      <c r="A778" s="539" t="n"/>
      <c r="B778" s="539" t="n"/>
      <c r="C778" s="571" t="n"/>
      <c r="D778" s="533" t="n"/>
      <c r="E778" s="533" t="n"/>
      <c r="F778" s="533" t="n"/>
      <c r="G778" s="533" t="n"/>
      <c r="H778" s="533" t="n"/>
    </row>
    <row r="779" ht="24" customHeight="1">
      <c r="A779" s="539" t="n"/>
      <c r="B779" s="539" t="n"/>
      <c r="C779" s="571" t="n"/>
      <c r="D779" s="533" t="n"/>
      <c r="E779" s="533" t="n"/>
      <c r="F779" s="533" t="n"/>
      <c r="G779" s="533" t="n"/>
      <c r="H779" s="533" t="n"/>
    </row>
    <row r="780" ht="24" customHeight="1">
      <c r="A780" s="539" t="n"/>
      <c r="B780" s="539" t="n"/>
      <c r="C780" s="571" t="n"/>
      <c r="D780" s="533" t="n"/>
      <c r="E780" s="533" t="n"/>
      <c r="F780" s="533" t="n"/>
      <c r="G780" s="533" t="n"/>
      <c r="H780" s="533" t="n"/>
    </row>
    <row r="781" ht="24" customHeight="1">
      <c r="A781" s="539" t="n"/>
      <c r="B781" s="539" t="n"/>
      <c r="C781" s="571" t="n"/>
      <c r="D781" s="533" t="n"/>
      <c r="E781" s="533" t="n"/>
      <c r="F781" s="533" t="n"/>
      <c r="G781" s="533" t="n"/>
      <c r="H781" s="533" t="n"/>
    </row>
    <row r="782" ht="24" customHeight="1">
      <c r="A782" s="539" t="n"/>
      <c r="B782" s="539" t="n"/>
      <c r="C782" s="571" t="n"/>
      <c r="D782" s="533" t="n"/>
      <c r="E782" s="533" t="n"/>
      <c r="F782" s="533" t="n"/>
      <c r="G782" s="533" t="n"/>
      <c r="H782" s="533" t="n"/>
    </row>
    <row r="783" ht="24" customHeight="1">
      <c r="A783" s="539" t="n"/>
      <c r="B783" s="539" t="n"/>
      <c r="C783" s="571" t="n"/>
      <c r="D783" s="533" t="n"/>
      <c r="E783" s="533" t="n"/>
      <c r="F783" s="533" t="n"/>
      <c r="G783" s="533" t="n"/>
      <c r="H783" s="533" t="n"/>
    </row>
    <row r="784" ht="24" customHeight="1">
      <c r="A784" s="539" t="n"/>
      <c r="B784" s="539" t="n"/>
      <c r="C784" s="571" t="n"/>
      <c r="D784" s="533" t="n"/>
      <c r="E784" s="533" t="n"/>
      <c r="F784" s="533" t="n"/>
      <c r="G784" s="533" t="n"/>
      <c r="H784" s="533" t="n"/>
    </row>
    <row r="785" ht="24" customHeight="1">
      <c r="A785" s="539" t="n"/>
      <c r="B785" s="539" t="n"/>
      <c r="C785" s="571" t="n"/>
      <c r="D785" s="533" t="n"/>
      <c r="E785" s="533" t="n"/>
      <c r="F785" s="533" t="n"/>
      <c r="G785" s="533" t="n"/>
      <c r="H785" s="533" t="n"/>
    </row>
    <row r="786" ht="24" customHeight="1">
      <c r="A786" s="539" t="n"/>
      <c r="B786" s="539" t="n"/>
      <c r="C786" s="571" t="n"/>
      <c r="D786" s="533" t="n"/>
      <c r="E786" s="533" t="n"/>
      <c r="F786" s="533" t="n"/>
      <c r="G786" s="533" t="n"/>
      <c r="H786" s="533" t="n"/>
    </row>
    <row r="787" ht="24" customHeight="1">
      <c r="A787" s="539" t="n"/>
      <c r="B787" s="539" t="n"/>
      <c r="C787" s="571" t="n"/>
      <c r="D787" s="533" t="n"/>
      <c r="E787" s="533" t="n"/>
      <c r="F787" s="533" t="n"/>
      <c r="G787" s="533" t="n"/>
      <c r="H787" s="533" t="n"/>
    </row>
    <row r="788" ht="24" customHeight="1">
      <c r="A788" s="539" t="n"/>
      <c r="B788" s="539" t="n"/>
      <c r="C788" s="571" t="n"/>
      <c r="D788" s="533" t="n"/>
      <c r="E788" s="533" t="n"/>
      <c r="F788" s="533" t="n"/>
      <c r="G788" s="533" t="n"/>
      <c r="H788" s="533" t="n"/>
    </row>
    <row r="789" ht="24" customHeight="1">
      <c r="A789" s="539" t="n"/>
      <c r="B789" s="539" t="n"/>
      <c r="C789" s="571" t="n"/>
      <c r="D789" s="533" t="n"/>
      <c r="E789" s="533" t="n"/>
      <c r="F789" s="533" t="n"/>
      <c r="G789" s="533" t="n"/>
      <c r="H789" s="533" t="n"/>
    </row>
    <row r="790" ht="24" customHeight="1">
      <c r="A790" s="539" t="n"/>
      <c r="B790" s="539" t="n"/>
      <c r="C790" s="571" t="n"/>
      <c r="D790" s="533" t="n"/>
      <c r="E790" s="533" t="n"/>
      <c r="F790" s="533" t="n"/>
      <c r="G790" s="533" t="n"/>
      <c r="H790" s="533" t="n"/>
    </row>
    <row r="791" ht="24" customHeight="1">
      <c r="A791" s="539" t="n"/>
      <c r="B791" s="539" t="n"/>
      <c r="C791" s="571" t="n"/>
      <c r="D791" s="533" t="n"/>
      <c r="E791" s="533" t="n"/>
      <c r="F791" s="533" t="n"/>
      <c r="G791" s="533" t="n"/>
      <c r="H791" s="533" t="n"/>
    </row>
    <row r="792" ht="24" customHeight="1">
      <c r="A792" s="539" t="n"/>
      <c r="B792" s="539" t="n"/>
      <c r="C792" s="571" t="n"/>
      <c r="D792" s="533" t="n"/>
      <c r="E792" s="533" t="n"/>
      <c r="F792" s="533" t="n"/>
      <c r="G792" s="533" t="n"/>
      <c r="H792" s="533" t="n"/>
    </row>
    <row r="793" ht="24" customHeight="1">
      <c r="A793" s="539" t="n"/>
      <c r="B793" s="539" t="n"/>
      <c r="C793" s="571" t="n"/>
      <c r="D793" s="533" t="n"/>
      <c r="E793" s="533" t="n"/>
      <c r="F793" s="533" t="n"/>
      <c r="G793" s="533" t="n"/>
      <c r="H793" s="533" t="n"/>
    </row>
    <row r="794" ht="24" customHeight="1">
      <c r="A794" s="539" t="n"/>
      <c r="B794" s="539" t="n"/>
      <c r="C794" s="571" t="n"/>
      <c r="D794" s="533" t="n"/>
      <c r="E794" s="533" t="n"/>
      <c r="F794" s="533" t="n"/>
      <c r="G794" s="533" t="n"/>
      <c r="H794" s="533" t="n"/>
    </row>
    <row r="795" ht="24" customHeight="1">
      <c r="A795" s="539" t="n"/>
      <c r="B795" s="539" t="n"/>
      <c r="C795" s="571" t="n"/>
      <c r="D795" s="533" t="n"/>
      <c r="E795" s="533" t="n"/>
      <c r="F795" s="533" t="n"/>
      <c r="G795" s="533" t="n"/>
      <c r="H795" s="533" t="n"/>
    </row>
    <row r="796" ht="24" customHeight="1">
      <c r="A796" s="539" t="n"/>
      <c r="B796" s="539" t="n"/>
      <c r="C796" s="571" t="n"/>
      <c r="D796" s="533" t="n"/>
      <c r="E796" s="533" t="n"/>
      <c r="F796" s="533" t="n"/>
      <c r="G796" s="533" t="n"/>
      <c r="H796" s="533" t="n"/>
    </row>
    <row r="797" ht="24" customHeight="1">
      <c r="A797" s="539" t="n"/>
      <c r="B797" s="539" t="n"/>
      <c r="C797" s="571" t="n"/>
      <c r="D797" s="533" t="n"/>
      <c r="E797" s="533" t="n"/>
      <c r="F797" s="533" t="n"/>
      <c r="G797" s="533" t="n"/>
      <c r="H797" s="533" t="n"/>
    </row>
    <row r="798" ht="24" customHeight="1">
      <c r="A798" s="539" t="n"/>
      <c r="B798" s="539" t="n"/>
      <c r="C798" s="571" t="n"/>
      <c r="D798" s="533" t="n"/>
      <c r="E798" s="533" t="n"/>
      <c r="F798" s="533" t="n"/>
      <c r="G798" s="533" t="n"/>
      <c r="H798" s="533" t="n"/>
    </row>
    <row r="799" ht="24" customHeight="1">
      <c r="A799" s="539" t="n"/>
      <c r="B799" s="539" t="n"/>
      <c r="C799" s="571" t="n"/>
      <c r="D799" s="533" t="n"/>
      <c r="E799" s="533" t="n"/>
      <c r="F799" s="533" t="n"/>
      <c r="G799" s="533" t="n"/>
      <c r="H799" s="533" t="n"/>
    </row>
    <row r="800" ht="24" customHeight="1">
      <c r="A800" s="539" t="n"/>
      <c r="B800" s="539" t="n"/>
      <c r="C800" s="571" t="n"/>
      <c r="D800" s="533" t="n"/>
      <c r="E800" s="533" t="n"/>
      <c r="F800" s="533" t="n"/>
      <c r="G800" s="533" t="n"/>
      <c r="H800" s="533" t="n"/>
    </row>
    <row r="801" ht="24" customHeight="1">
      <c r="A801" s="539" t="n"/>
      <c r="B801" s="539" t="n"/>
      <c r="C801" s="571" t="n"/>
      <c r="D801" s="533" t="n"/>
      <c r="E801" s="533" t="n"/>
      <c r="F801" s="533" t="n"/>
      <c r="G801" s="533" t="n"/>
      <c r="H801" s="533" t="n"/>
    </row>
    <row r="802" ht="24" customHeight="1">
      <c r="A802" s="539" t="n"/>
      <c r="B802" s="539" t="n"/>
      <c r="C802" s="571" t="n"/>
      <c r="D802" s="533" t="n"/>
      <c r="E802" s="533" t="n"/>
      <c r="F802" s="533" t="n"/>
      <c r="G802" s="533" t="n"/>
      <c r="H802" s="533" t="n"/>
    </row>
    <row r="803" ht="24" customHeight="1">
      <c r="A803" s="539" t="n"/>
      <c r="B803" s="539" t="n"/>
      <c r="C803" s="571" t="n"/>
      <c r="D803" s="533" t="n"/>
      <c r="E803" s="533" t="n"/>
      <c r="F803" s="533" t="n"/>
      <c r="G803" s="533" t="n"/>
      <c r="H803" s="533" t="n"/>
    </row>
    <row r="804" ht="24" customHeight="1">
      <c r="A804" s="539" t="n"/>
      <c r="B804" s="539" t="n"/>
      <c r="C804" s="571" t="n"/>
      <c r="D804" s="533" t="n"/>
      <c r="E804" s="533" t="n"/>
      <c r="F804" s="533" t="n"/>
      <c r="G804" s="533" t="n"/>
      <c r="H804" s="533" t="n"/>
    </row>
    <row r="805" ht="24" customHeight="1">
      <c r="A805" s="539" t="n"/>
      <c r="B805" s="539" t="n"/>
      <c r="C805" s="571" t="n"/>
      <c r="D805" s="533" t="n"/>
      <c r="E805" s="533" t="n"/>
      <c r="F805" s="533" t="n"/>
      <c r="G805" s="533" t="n"/>
      <c r="H805" s="533" t="n"/>
    </row>
    <row r="806" ht="24" customHeight="1">
      <c r="A806" s="539" t="n"/>
      <c r="B806" s="539" t="n"/>
      <c r="C806" s="571" t="n"/>
      <c r="D806" s="533" t="n"/>
      <c r="E806" s="533" t="n"/>
      <c r="F806" s="533" t="n"/>
      <c r="G806" s="533" t="n"/>
      <c r="H806" s="533" t="n"/>
    </row>
    <row r="807" ht="24" customHeight="1">
      <c r="A807" s="539" t="n"/>
      <c r="B807" s="539" t="n"/>
      <c r="C807" s="571" t="n"/>
      <c r="D807" s="533" t="n"/>
      <c r="E807" s="533" t="n"/>
      <c r="F807" s="533" t="n"/>
      <c r="G807" s="533" t="n"/>
      <c r="H807" s="533" t="n"/>
    </row>
    <row r="808" ht="24" customHeight="1">
      <c r="A808" s="539" t="n"/>
      <c r="B808" s="539" t="n"/>
      <c r="C808" s="571" t="n"/>
      <c r="D808" s="533" t="n"/>
      <c r="E808" s="533" t="n"/>
      <c r="F808" s="533" t="n"/>
      <c r="G808" s="533" t="n"/>
      <c r="H808" s="533" t="n"/>
    </row>
    <row r="809" ht="24" customHeight="1">
      <c r="A809" s="539" t="n"/>
      <c r="B809" s="539" t="n"/>
      <c r="C809" s="571" t="n"/>
      <c r="D809" s="533" t="n"/>
      <c r="E809" s="533" t="n"/>
      <c r="F809" s="533" t="n"/>
      <c r="G809" s="533" t="n"/>
      <c r="H809" s="533" t="n"/>
    </row>
    <row r="810" ht="24" customHeight="1">
      <c r="A810" s="539" t="n"/>
      <c r="B810" s="539" t="n"/>
      <c r="C810" s="571" t="n"/>
      <c r="D810" s="533" t="n"/>
      <c r="E810" s="533" t="n"/>
      <c r="F810" s="533" t="n"/>
      <c r="G810" s="533" t="n"/>
      <c r="H810" s="533" t="n"/>
    </row>
    <row r="811" ht="24" customHeight="1">
      <c r="A811" s="539" t="n"/>
      <c r="B811" s="539" t="n"/>
      <c r="C811" s="571" t="n"/>
      <c r="D811" s="533" t="n"/>
      <c r="E811" s="533" t="n"/>
      <c r="F811" s="533" t="n"/>
      <c r="G811" s="533" t="n"/>
      <c r="H811" s="533" t="n"/>
    </row>
    <row r="812" ht="24" customHeight="1">
      <c r="A812" s="539" t="n"/>
      <c r="B812" s="539" t="n"/>
      <c r="C812" s="571" t="n"/>
      <c r="D812" s="533" t="n"/>
      <c r="E812" s="533" t="n"/>
      <c r="F812" s="533" t="n"/>
      <c r="G812" s="533" t="n"/>
      <c r="H812" s="533" t="n"/>
    </row>
    <row r="813" ht="24" customHeight="1">
      <c r="A813" s="539" t="n"/>
      <c r="B813" s="539" t="n"/>
      <c r="C813" s="571" t="n"/>
      <c r="D813" s="533" t="n"/>
      <c r="E813" s="533" t="n"/>
      <c r="F813" s="533" t="n"/>
      <c r="G813" s="533" t="n"/>
      <c r="H813" s="533" t="n"/>
    </row>
    <row r="814" ht="24" customHeight="1">
      <c r="A814" s="539" t="n"/>
      <c r="B814" s="539" t="n"/>
      <c r="C814" s="571" t="n"/>
      <c r="D814" s="533" t="n"/>
      <c r="E814" s="533" t="n"/>
      <c r="F814" s="533" t="n"/>
      <c r="G814" s="533" t="n"/>
      <c r="H814" s="533" t="n"/>
    </row>
    <row r="815" ht="24" customHeight="1">
      <c r="A815" s="539" t="n"/>
      <c r="B815" s="539" t="n"/>
      <c r="C815" s="571" t="n"/>
      <c r="D815" s="533" t="n"/>
      <c r="E815" s="533" t="n"/>
      <c r="F815" s="533" t="n"/>
      <c r="G815" s="533" t="n"/>
      <c r="H815" s="533" t="n"/>
    </row>
    <row r="816" ht="24" customHeight="1">
      <c r="A816" s="539" t="n"/>
      <c r="B816" s="539" t="n"/>
      <c r="C816" s="571" t="n"/>
      <c r="D816" s="533" t="n"/>
      <c r="E816" s="533" t="n"/>
      <c r="F816" s="533" t="n"/>
      <c r="G816" s="533" t="n"/>
      <c r="H816" s="533" t="n"/>
    </row>
    <row r="817" ht="24" customHeight="1">
      <c r="A817" s="539" t="n"/>
      <c r="B817" s="539" t="n"/>
      <c r="C817" s="571" t="n"/>
      <c r="D817" s="533" t="n"/>
      <c r="E817" s="533" t="n"/>
      <c r="F817" s="533" t="n"/>
      <c r="G817" s="533" t="n"/>
      <c r="H817" s="533" t="n"/>
    </row>
    <row r="818" ht="24" customHeight="1">
      <c r="A818" s="539" t="n"/>
      <c r="B818" s="539" t="n"/>
      <c r="C818" s="571" t="n"/>
      <c r="D818" s="533" t="n"/>
      <c r="E818" s="533" t="n"/>
      <c r="F818" s="533" t="n"/>
      <c r="G818" s="533" t="n"/>
      <c r="H818" s="533" t="n"/>
    </row>
    <row r="819" ht="24" customHeight="1">
      <c r="A819" s="539" t="n"/>
      <c r="B819" s="539" t="n"/>
      <c r="C819" s="571" t="n"/>
      <c r="D819" s="533" t="n"/>
      <c r="E819" s="533" t="n"/>
      <c r="F819" s="533" t="n"/>
      <c r="G819" s="533" t="n"/>
      <c r="H819" s="533" t="n"/>
    </row>
    <row r="820" ht="24" customHeight="1">
      <c r="A820" s="539" t="n"/>
      <c r="B820" s="539" t="n"/>
      <c r="C820" s="571" t="n"/>
      <c r="D820" s="533" t="n"/>
      <c r="E820" s="533" t="n"/>
      <c r="F820" s="533" t="n"/>
      <c r="G820" s="533" t="n"/>
      <c r="H820" s="533" t="n"/>
    </row>
    <row r="821" ht="24" customHeight="1">
      <c r="A821" s="539" t="n"/>
      <c r="B821" s="539" t="n"/>
      <c r="C821" s="571" t="n"/>
      <c r="D821" s="533" t="n"/>
      <c r="E821" s="533" t="n"/>
      <c r="F821" s="533" t="n"/>
      <c r="G821" s="533" t="n"/>
      <c r="H821" s="533" t="n"/>
    </row>
    <row r="822" ht="24" customHeight="1">
      <c r="A822" s="539" t="n"/>
      <c r="B822" s="539" t="n"/>
      <c r="C822" s="571" t="n"/>
      <c r="D822" s="533" t="n"/>
      <c r="E822" s="533" t="n"/>
      <c r="F822" s="533" t="n"/>
      <c r="G822" s="533" t="n"/>
      <c r="H822" s="533" t="n"/>
    </row>
    <row r="823" ht="24" customHeight="1">
      <c r="A823" s="539" t="n"/>
      <c r="B823" s="539" t="n"/>
      <c r="C823" s="571" t="n"/>
      <c r="D823" s="533" t="n"/>
      <c r="E823" s="533" t="n"/>
      <c r="F823" s="533" t="n"/>
      <c r="G823" s="533" t="n"/>
      <c r="H823" s="533" t="n"/>
    </row>
    <row r="824" ht="24" customHeight="1">
      <c r="A824" s="539" t="n"/>
      <c r="B824" s="539" t="n"/>
      <c r="C824" s="571" t="n"/>
      <c r="D824" s="533" t="n"/>
      <c r="E824" s="533" t="n"/>
      <c r="F824" s="533" t="n"/>
      <c r="G824" s="533" t="n"/>
      <c r="H824" s="533" t="n"/>
    </row>
    <row r="825" ht="24" customHeight="1">
      <c r="A825" s="539" t="n"/>
      <c r="B825" s="539" t="n"/>
      <c r="C825" s="571" t="n"/>
      <c r="D825" s="533" t="n"/>
      <c r="E825" s="533" t="n"/>
      <c r="F825" s="533" t="n"/>
      <c r="G825" s="533" t="n"/>
      <c r="H825" s="533" t="n"/>
    </row>
    <row r="826" ht="24" customHeight="1">
      <c r="A826" s="539" t="n"/>
      <c r="B826" s="539" t="n"/>
      <c r="C826" s="571" t="n"/>
      <c r="D826" s="533" t="n"/>
      <c r="E826" s="533" t="n"/>
      <c r="F826" s="533" t="n"/>
      <c r="G826" s="533" t="n"/>
      <c r="H826" s="533" t="n"/>
    </row>
    <row r="827" ht="24" customHeight="1">
      <c r="A827" s="539" t="n"/>
      <c r="B827" s="539" t="n"/>
      <c r="C827" s="571" t="n"/>
      <c r="D827" s="533" t="n"/>
      <c r="E827" s="533" t="n"/>
      <c r="F827" s="533" t="n"/>
      <c r="G827" s="533" t="n"/>
      <c r="H827" s="533" t="n"/>
    </row>
    <row r="828" ht="24" customHeight="1">
      <c r="A828" s="539" t="n"/>
      <c r="B828" s="539" t="n"/>
      <c r="C828" s="571" t="n"/>
      <c r="D828" s="533" t="n"/>
      <c r="E828" s="533" t="n"/>
      <c r="F828" s="533" t="n"/>
      <c r="G828" s="533" t="n"/>
      <c r="H828" s="533" t="n"/>
    </row>
    <row r="829" ht="24" customHeight="1">
      <c r="A829" s="539" t="n"/>
      <c r="B829" s="539" t="n"/>
      <c r="C829" s="571" t="n"/>
      <c r="D829" s="533" t="n"/>
      <c r="E829" s="533" t="n"/>
      <c r="F829" s="533" t="n"/>
      <c r="G829" s="533" t="n"/>
      <c r="H829" s="533" t="n"/>
    </row>
    <row r="830" ht="24" customHeight="1">
      <c r="A830" s="539" t="n"/>
      <c r="B830" s="539" t="n"/>
      <c r="C830" s="571" t="n"/>
      <c r="D830" s="533" t="n"/>
      <c r="E830" s="533" t="n"/>
      <c r="F830" s="533" t="n"/>
      <c r="G830" s="533" t="n"/>
      <c r="H830" s="533" t="n"/>
    </row>
    <row r="831" ht="24" customHeight="1">
      <c r="A831" s="539" t="n"/>
      <c r="B831" s="539" t="n"/>
      <c r="C831" s="571" t="n"/>
      <c r="D831" s="533" t="n"/>
      <c r="E831" s="533" t="n"/>
      <c r="F831" s="533" t="n"/>
      <c r="G831" s="533" t="n"/>
      <c r="H831" s="533" t="n"/>
    </row>
    <row r="832" ht="24" customHeight="1">
      <c r="A832" s="539" t="n"/>
      <c r="B832" s="539" t="n"/>
      <c r="C832" s="571" t="n"/>
      <c r="D832" s="533" t="n"/>
      <c r="E832" s="533" t="n"/>
      <c r="F832" s="533" t="n"/>
      <c r="G832" s="533" t="n"/>
      <c r="H832" s="533" t="n"/>
    </row>
    <row r="833" ht="24" customHeight="1">
      <c r="A833" s="539" t="n"/>
      <c r="B833" s="539" t="n"/>
      <c r="C833" s="571" t="n"/>
      <c r="D833" s="533" t="n"/>
      <c r="E833" s="533" t="n"/>
      <c r="F833" s="533" t="n"/>
      <c r="G833" s="533" t="n"/>
      <c r="H833" s="533" t="n"/>
    </row>
    <row r="834" ht="24" customHeight="1">
      <c r="A834" s="539" t="n"/>
      <c r="B834" s="539" t="n"/>
      <c r="C834" s="571" t="n"/>
      <c r="D834" s="533" t="n"/>
      <c r="E834" s="533" t="n"/>
      <c r="F834" s="533" t="n"/>
      <c r="G834" s="533" t="n"/>
      <c r="H834" s="533" t="n"/>
    </row>
    <row r="835" ht="24" customHeight="1">
      <c r="A835" s="539" t="n"/>
      <c r="B835" s="539" t="n"/>
      <c r="C835" s="571" t="n"/>
      <c r="D835" s="533" t="n"/>
      <c r="E835" s="533" t="n"/>
      <c r="F835" s="533" t="n"/>
      <c r="G835" s="533" t="n"/>
      <c r="H835" s="533" t="n"/>
    </row>
    <row r="836" ht="24" customHeight="1">
      <c r="A836" s="539" t="n"/>
      <c r="B836" s="539" t="n"/>
      <c r="C836" s="571" t="n"/>
      <c r="D836" s="533" t="n"/>
      <c r="E836" s="533" t="n"/>
      <c r="F836" s="533" t="n"/>
      <c r="G836" s="533" t="n"/>
      <c r="H836" s="533" t="n"/>
    </row>
    <row r="837" ht="24" customHeight="1">
      <c r="A837" s="539" t="n"/>
      <c r="B837" s="539" t="n"/>
      <c r="C837" s="571" t="n"/>
      <c r="D837" s="533" t="n"/>
      <c r="E837" s="533" t="n"/>
      <c r="F837" s="533" t="n"/>
      <c r="G837" s="533" t="n"/>
      <c r="H837" s="533" t="n"/>
    </row>
    <row r="838" ht="24" customHeight="1">
      <c r="A838" s="539" t="n"/>
      <c r="B838" s="539" t="n"/>
      <c r="C838" s="571" t="n"/>
      <c r="D838" s="533" t="n"/>
      <c r="E838" s="533" t="n"/>
      <c r="F838" s="533" t="n"/>
      <c r="G838" s="533" t="n"/>
      <c r="H838" s="533" t="n"/>
    </row>
    <row r="839" ht="24" customHeight="1">
      <c r="A839" s="539" t="n"/>
      <c r="B839" s="539" t="n"/>
      <c r="C839" s="571" t="n"/>
      <c r="D839" s="533" t="n"/>
      <c r="E839" s="533" t="n"/>
      <c r="F839" s="533" t="n"/>
      <c r="G839" s="533" t="n"/>
      <c r="H839" s="533" t="n"/>
    </row>
    <row r="840" ht="24" customHeight="1">
      <c r="A840" s="539" t="n"/>
      <c r="B840" s="539" t="n"/>
      <c r="C840" s="571" t="n"/>
      <c r="D840" s="533" t="n"/>
      <c r="E840" s="533" t="n"/>
      <c r="F840" s="533" t="n"/>
      <c r="G840" s="533" t="n"/>
      <c r="H840" s="533" t="n"/>
    </row>
    <row r="841" ht="24" customHeight="1">
      <c r="A841" s="539" t="n"/>
      <c r="B841" s="539" t="n"/>
      <c r="C841" s="571" t="n"/>
      <c r="D841" s="533" t="n"/>
      <c r="E841" s="533" t="n"/>
      <c r="F841" s="533" t="n"/>
      <c r="G841" s="533" t="n"/>
      <c r="H841" s="533" t="n"/>
    </row>
    <row r="842" ht="24" customHeight="1">
      <c r="A842" s="539" t="n"/>
      <c r="B842" s="539" t="n"/>
      <c r="C842" s="571" t="n"/>
      <c r="D842" s="533" t="n"/>
      <c r="E842" s="533" t="n"/>
      <c r="F842" s="533" t="n"/>
      <c r="G842" s="533" t="n"/>
      <c r="H842" s="533" t="n"/>
    </row>
    <row r="843" ht="24" customHeight="1">
      <c r="A843" s="539" t="n"/>
      <c r="B843" s="539" t="n"/>
      <c r="C843" s="571" t="n"/>
      <c r="D843" s="533" t="n"/>
      <c r="E843" s="533" t="n"/>
      <c r="F843" s="533" t="n"/>
      <c r="G843" s="533" t="n"/>
      <c r="H843" s="533" t="n"/>
    </row>
    <row r="844" ht="24" customHeight="1">
      <c r="A844" s="539" t="n"/>
      <c r="B844" s="539" t="n"/>
      <c r="C844" s="571" t="n"/>
      <c r="D844" s="533" t="n"/>
      <c r="E844" s="533" t="n"/>
      <c r="F844" s="533" t="n"/>
      <c r="G844" s="533" t="n"/>
      <c r="H844" s="533" t="n"/>
    </row>
    <row r="845" ht="24" customHeight="1">
      <c r="A845" s="539" t="n"/>
      <c r="B845" s="539" t="n"/>
      <c r="C845" s="571" t="n"/>
      <c r="D845" s="533" t="n"/>
      <c r="E845" s="533" t="n"/>
      <c r="F845" s="533" t="n"/>
      <c r="G845" s="533" t="n"/>
      <c r="H845" s="533" t="n"/>
    </row>
    <row r="846" ht="24" customHeight="1">
      <c r="A846" s="539" t="n"/>
      <c r="B846" s="539" t="n"/>
      <c r="C846" s="571" t="n"/>
      <c r="D846" s="533" t="n"/>
      <c r="E846" s="533" t="n"/>
      <c r="F846" s="533" t="n"/>
      <c r="G846" s="533" t="n"/>
      <c r="H846" s="533" t="n"/>
    </row>
    <row r="847" ht="24" customHeight="1">
      <c r="A847" s="539" t="n"/>
      <c r="B847" s="539" t="n"/>
      <c r="C847" s="571" t="n"/>
      <c r="D847" s="533" t="n"/>
      <c r="E847" s="533" t="n"/>
      <c r="F847" s="533" t="n"/>
      <c r="G847" s="533" t="n"/>
      <c r="H847" s="533" t="n"/>
    </row>
    <row r="848" ht="24" customHeight="1">
      <c r="A848" s="539" t="n"/>
      <c r="B848" s="539" t="n"/>
      <c r="C848" s="571" t="n"/>
      <c r="D848" s="533" t="n"/>
      <c r="E848" s="533" t="n"/>
      <c r="F848" s="533" t="n"/>
      <c r="G848" s="533" t="n"/>
      <c r="H848" s="533" t="n"/>
    </row>
    <row r="849" ht="24" customHeight="1">
      <c r="A849" s="539" t="n"/>
      <c r="B849" s="539" t="n"/>
      <c r="C849" s="571" t="n"/>
      <c r="D849" s="533" t="n"/>
      <c r="E849" s="533" t="n"/>
      <c r="F849" s="533" t="n"/>
      <c r="G849" s="533" t="n"/>
      <c r="H849" s="533" t="n"/>
    </row>
    <row r="850" ht="24" customHeight="1">
      <c r="A850" s="539" t="n"/>
      <c r="B850" s="539" t="n"/>
      <c r="C850" s="571" t="n"/>
      <c r="D850" s="533" t="n"/>
      <c r="E850" s="533" t="n"/>
      <c r="F850" s="533" t="n"/>
      <c r="G850" s="533" t="n"/>
      <c r="H850" s="533" t="n"/>
    </row>
    <row r="851" ht="24" customHeight="1">
      <c r="A851" s="539" t="n"/>
      <c r="B851" s="539" t="n"/>
      <c r="C851" s="571" t="n"/>
      <c r="D851" s="533" t="n"/>
      <c r="E851" s="533" t="n"/>
      <c r="F851" s="533" t="n"/>
      <c r="G851" s="533" t="n"/>
      <c r="H851" s="533" t="n"/>
    </row>
    <row r="852" ht="24" customHeight="1">
      <c r="A852" s="539" t="n"/>
      <c r="B852" s="539" t="n"/>
      <c r="C852" s="571" t="n"/>
      <c r="D852" s="533" t="n"/>
      <c r="E852" s="533" t="n"/>
      <c r="F852" s="533" t="n"/>
      <c r="G852" s="533" t="n"/>
      <c r="H852" s="533" t="n"/>
    </row>
    <row r="853" ht="24" customHeight="1">
      <c r="A853" s="539" t="n"/>
      <c r="B853" s="539" t="n"/>
      <c r="C853" s="571" t="n"/>
      <c r="D853" s="533" t="n"/>
      <c r="E853" s="533" t="n"/>
      <c r="F853" s="533" t="n"/>
      <c r="G853" s="533" t="n"/>
      <c r="H853" s="533" t="n"/>
    </row>
    <row r="854" ht="24" customHeight="1">
      <c r="A854" s="539" t="n"/>
      <c r="B854" s="539" t="n"/>
      <c r="C854" s="571" t="n"/>
      <c r="D854" s="533" t="n"/>
      <c r="E854" s="533" t="n"/>
      <c r="F854" s="533" t="n"/>
      <c r="G854" s="533" t="n"/>
      <c r="H854" s="533" t="n"/>
    </row>
    <row r="855" ht="24" customHeight="1">
      <c r="A855" s="539" t="n"/>
      <c r="B855" s="539" t="n"/>
      <c r="C855" s="571" t="n"/>
      <c r="D855" s="533" t="n"/>
      <c r="E855" s="533" t="n"/>
      <c r="F855" s="533" t="n"/>
      <c r="G855" s="533" t="n"/>
      <c r="H855" s="533" t="n"/>
    </row>
    <row r="856" ht="24" customHeight="1">
      <c r="A856" s="539" t="n"/>
      <c r="B856" s="539" t="n"/>
      <c r="C856" s="571" t="n"/>
      <c r="D856" s="533" t="n"/>
      <c r="E856" s="533" t="n"/>
      <c r="F856" s="533" t="n"/>
      <c r="G856" s="533" t="n"/>
      <c r="H856" s="533" t="n"/>
    </row>
    <row r="857" ht="24" customHeight="1">
      <c r="A857" s="539" t="n"/>
      <c r="B857" s="539" t="n"/>
      <c r="C857" s="571" t="n"/>
      <c r="D857" s="533" t="n"/>
      <c r="E857" s="533" t="n"/>
      <c r="F857" s="533" t="n"/>
      <c r="G857" s="533" t="n"/>
      <c r="H857" s="533" t="n"/>
    </row>
    <row r="858" ht="24" customHeight="1">
      <c r="A858" s="539" t="n"/>
      <c r="B858" s="539" t="n"/>
      <c r="C858" s="571" t="n"/>
      <c r="D858" s="533" t="n"/>
      <c r="E858" s="533" t="n"/>
      <c r="F858" s="533" t="n"/>
      <c r="G858" s="533" t="n"/>
      <c r="H858" s="533" t="n"/>
    </row>
    <row r="859" ht="24" customHeight="1">
      <c r="A859" s="539" t="n"/>
      <c r="B859" s="539" t="n"/>
      <c r="C859" s="571" t="n"/>
      <c r="D859" s="533" t="n"/>
      <c r="E859" s="533" t="n"/>
      <c r="F859" s="533" t="n"/>
      <c r="G859" s="533" t="n"/>
      <c r="H859" s="533" t="n"/>
    </row>
    <row r="860" ht="24" customHeight="1">
      <c r="A860" s="539" t="n"/>
      <c r="B860" s="539" t="n"/>
      <c r="C860" s="571" t="n"/>
      <c r="D860" s="533" t="n"/>
      <c r="E860" s="533" t="n"/>
      <c r="F860" s="533" t="n"/>
      <c r="G860" s="533" t="n"/>
      <c r="H860" s="533" t="n"/>
    </row>
    <row r="861" ht="24" customHeight="1">
      <c r="A861" s="539" t="n"/>
      <c r="B861" s="539" t="n"/>
      <c r="C861" s="571" t="n"/>
      <c r="D861" s="533" t="n"/>
      <c r="E861" s="533" t="n"/>
      <c r="F861" s="533" t="n"/>
      <c r="G861" s="533" t="n"/>
      <c r="H861" s="533" t="n"/>
    </row>
    <row r="862" ht="24" customHeight="1">
      <c r="A862" s="539" t="n"/>
      <c r="B862" s="539" t="n"/>
      <c r="C862" s="571" t="n"/>
      <c r="D862" s="533" t="n"/>
      <c r="E862" s="533" t="n"/>
      <c r="F862" s="533" t="n"/>
      <c r="G862" s="533" t="n"/>
      <c r="H862" s="533" t="n"/>
    </row>
    <row r="863" ht="24" customHeight="1">
      <c r="A863" s="539" t="n"/>
      <c r="B863" s="539" t="n"/>
      <c r="C863" s="571" t="n"/>
      <c r="D863" s="533" t="n"/>
      <c r="E863" s="533" t="n"/>
      <c r="F863" s="533" t="n"/>
      <c r="G863" s="533" t="n"/>
      <c r="H863" s="533" t="n"/>
    </row>
    <row r="864" ht="24" customHeight="1">
      <c r="A864" s="539" t="n"/>
      <c r="B864" s="539" t="n"/>
      <c r="C864" s="571" t="n"/>
      <c r="D864" s="533" t="n"/>
      <c r="E864" s="533" t="n"/>
      <c r="F864" s="533" t="n"/>
      <c r="G864" s="533" t="n"/>
      <c r="H864" s="533" t="n"/>
    </row>
    <row r="865" ht="24" customHeight="1">
      <c r="A865" s="539" t="n"/>
      <c r="B865" s="539" t="n"/>
      <c r="C865" s="571" t="n"/>
      <c r="D865" s="533" t="n"/>
      <c r="E865" s="533" t="n"/>
      <c r="F865" s="533" t="n"/>
      <c r="G865" s="533" t="n"/>
      <c r="H865" s="533" t="n"/>
    </row>
    <row r="866" ht="24" customHeight="1">
      <c r="A866" s="539" t="n"/>
      <c r="B866" s="539" t="n"/>
      <c r="C866" s="571" t="n"/>
      <c r="D866" s="533" t="n"/>
      <c r="E866" s="533" t="n"/>
      <c r="F866" s="533" t="n"/>
      <c r="G866" s="533" t="n"/>
      <c r="H866" s="533" t="n"/>
    </row>
    <row r="867" ht="24" customHeight="1">
      <c r="A867" s="539" t="n"/>
      <c r="B867" s="539" t="n"/>
      <c r="C867" s="571" t="n"/>
      <c r="D867" s="533" t="n"/>
      <c r="E867" s="533" t="n"/>
      <c r="F867" s="533" t="n"/>
      <c r="G867" s="533" t="n"/>
      <c r="H867" s="533" t="n"/>
    </row>
    <row r="868" ht="24" customHeight="1">
      <c r="A868" s="539" t="n"/>
      <c r="B868" s="539" t="n"/>
      <c r="C868" s="571" t="n"/>
      <c r="D868" s="533" t="n"/>
      <c r="E868" s="533" t="n"/>
      <c r="F868" s="533" t="n"/>
      <c r="G868" s="533" t="n"/>
      <c r="H868" s="533" t="n"/>
    </row>
    <row r="869" ht="24" customHeight="1">
      <c r="A869" s="539" t="n"/>
      <c r="B869" s="539" t="n"/>
      <c r="C869" s="571" t="n"/>
      <c r="D869" s="533" t="n"/>
      <c r="E869" s="533" t="n"/>
      <c r="F869" s="533" t="n"/>
      <c r="G869" s="533" t="n"/>
      <c r="H869" s="533" t="n"/>
    </row>
    <row r="870" ht="24" customHeight="1">
      <c r="A870" s="539" t="n"/>
      <c r="B870" s="539" t="n"/>
      <c r="C870" s="571" t="n"/>
      <c r="D870" s="533" t="n"/>
      <c r="E870" s="533" t="n"/>
      <c r="F870" s="533" t="n"/>
      <c r="G870" s="533" t="n"/>
      <c r="H870" s="533" t="n"/>
    </row>
    <row r="871" ht="24" customHeight="1">
      <c r="A871" s="539" t="n"/>
      <c r="B871" s="539" t="n"/>
      <c r="C871" s="571" t="n"/>
      <c r="D871" s="533" t="n"/>
      <c r="E871" s="533" t="n"/>
      <c r="F871" s="533" t="n"/>
      <c r="G871" s="533" t="n"/>
      <c r="H871" s="533" t="n"/>
    </row>
    <row r="872" ht="24" customHeight="1">
      <c r="A872" s="539" t="n"/>
      <c r="B872" s="539" t="n"/>
      <c r="C872" s="571" t="n"/>
      <c r="D872" s="533" t="n"/>
      <c r="E872" s="533" t="n"/>
      <c r="F872" s="533" t="n"/>
      <c r="G872" s="533" t="n"/>
      <c r="H872" s="533" t="n"/>
    </row>
    <row r="873" ht="24" customHeight="1">
      <c r="A873" s="539" t="n"/>
      <c r="B873" s="539" t="n"/>
      <c r="C873" s="571" t="n"/>
      <c r="D873" s="533" t="n"/>
      <c r="E873" s="533" t="n"/>
      <c r="F873" s="533" t="n"/>
      <c r="G873" s="533" t="n"/>
      <c r="H873" s="533" t="n"/>
    </row>
    <row r="874" ht="24" customHeight="1">
      <c r="A874" s="539" t="n"/>
      <c r="B874" s="539" t="n"/>
      <c r="C874" s="571" t="n"/>
      <c r="D874" s="533" t="n"/>
      <c r="E874" s="533" t="n"/>
      <c r="F874" s="533" t="n"/>
      <c r="G874" s="533" t="n"/>
      <c r="H874" s="533" t="n"/>
    </row>
    <row r="875" ht="24" customHeight="1">
      <c r="A875" s="539" t="n"/>
      <c r="B875" s="539" t="n"/>
      <c r="C875" s="571" t="n"/>
      <c r="D875" s="533" t="n"/>
      <c r="E875" s="533" t="n"/>
      <c r="F875" s="533" t="n"/>
      <c r="G875" s="533" t="n"/>
      <c r="H875" s="533" t="n"/>
    </row>
    <row r="876" ht="24" customHeight="1">
      <c r="A876" s="539" t="n"/>
      <c r="B876" s="539" t="n"/>
      <c r="C876" s="571" t="n"/>
      <c r="D876" s="533" t="n"/>
      <c r="E876" s="533" t="n"/>
      <c r="F876" s="533" t="n"/>
      <c r="G876" s="533" t="n"/>
      <c r="H876" s="533" t="n"/>
    </row>
    <row r="877" ht="24" customHeight="1">
      <c r="A877" s="539" t="n"/>
      <c r="B877" s="539" t="n"/>
      <c r="C877" s="571" t="n"/>
      <c r="D877" s="533" t="n"/>
      <c r="E877" s="533" t="n"/>
      <c r="F877" s="533" t="n"/>
      <c r="G877" s="533" t="n"/>
      <c r="H877" s="533" t="n"/>
    </row>
    <row r="878" ht="24" customHeight="1">
      <c r="A878" s="539" t="n"/>
      <c r="B878" s="539" t="n"/>
      <c r="C878" s="571" t="n"/>
      <c r="D878" s="533" t="n"/>
      <c r="E878" s="533" t="n"/>
      <c r="F878" s="533" t="n"/>
      <c r="G878" s="533" t="n"/>
      <c r="H878" s="533" t="n"/>
    </row>
    <row r="879" ht="24" customHeight="1">
      <c r="A879" s="539" t="n"/>
      <c r="B879" s="539" t="n"/>
      <c r="C879" s="571" t="n"/>
      <c r="D879" s="533" t="n"/>
      <c r="E879" s="533" t="n"/>
      <c r="F879" s="533" t="n"/>
      <c r="G879" s="533" t="n"/>
      <c r="H879" s="533" t="n"/>
    </row>
    <row r="880" ht="24" customHeight="1">
      <c r="A880" s="539" t="n"/>
      <c r="B880" s="539" t="n"/>
      <c r="C880" s="571" t="n"/>
      <c r="D880" s="533" t="n"/>
      <c r="E880" s="533" t="n"/>
      <c r="F880" s="533" t="n"/>
      <c r="G880" s="533" t="n"/>
      <c r="H880" s="533" t="n"/>
    </row>
    <row r="881" ht="24" customHeight="1">
      <c r="A881" s="539" t="n"/>
      <c r="B881" s="539" t="n"/>
      <c r="C881" s="571" t="n"/>
      <c r="D881" s="533" t="n"/>
      <c r="E881" s="533" t="n"/>
      <c r="F881" s="533" t="n"/>
      <c r="G881" s="533" t="n"/>
      <c r="H881" s="533" t="n"/>
    </row>
    <row r="882" ht="24" customHeight="1">
      <c r="A882" s="539" t="n"/>
      <c r="B882" s="539" t="n"/>
      <c r="C882" s="571" t="n"/>
      <c r="D882" s="533" t="n"/>
      <c r="E882" s="533" t="n"/>
      <c r="F882" s="533" t="n"/>
      <c r="G882" s="533" t="n"/>
      <c r="H882" s="533" t="n"/>
    </row>
    <row r="883" ht="24" customHeight="1">
      <c r="A883" s="539" t="n"/>
      <c r="B883" s="539" t="n"/>
      <c r="C883" s="571" t="n"/>
      <c r="D883" s="533" t="n"/>
      <c r="E883" s="533" t="n"/>
      <c r="F883" s="533" t="n"/>
      <c r="G883" s="533" t="n"/>
      <c r="H883" s="533" t="n"/>
    </row>
    <row r="884" ht="24" customHeight="1">
      <c r="A884" s="539" t="n"/>
      <c r="B884" s="539" t="n"/>
      <c r="C884" s="571" t="n"/>
      <c r="D884" s="533" t="n"/>
      <c r="E884" s="533" t="n"/>
      <c r="F884" s="533" t="n"/>
      <c r="G884" s="533" t="n"/>
      <c r="H884" s="533" t="n"/>
    </row>
    <row r="885" ht="24" customHeight="1">
      <c r="A885" s="539" t="n"/>
      <c r="B885" s="539" t="n"/>
      <c r="C885" s="571" t="n"/>
      <c r="D885" s="533" t="n"/>
      <c r="E885" s="533" t="n"/>
      <c r="F885" s="533" t="n"/>
      <c r="G885" s="533" t="n"/>
      <c r="H885" s="533" t="n"/>
    </row>
    <row r="886" ht="24" customHeight="1">
      <c r="A886" s="539" t="n"/>
      <c r="B886" s="539" t="n"/>
      <c r="C886" s="571" t="n"/>
      <c r="D886" s="533" t="n"/>
      <c r="E886" s="533" t="n"/>
      <c r="F886" s="533" t="n"/>
      <c r="G886" s="533" t="n"/>
      <c r="H886" s="533" t="n"/>
    </row>
    <row r="887" ht="24" customHeight="1">
      <c r="A887" s="539" t="n"/>
      <c r="B887" s="539" t="n"/>
      <c r="C887" s="571" t="n"/>
      <c r="D887" s="533" t="n"/>
      <c r="E887" s="533" t="n"/>
      <c r="F887" s="533" t="n"/>
      <c r="G887" s="533" t="n"/>
      <c r="H887" s="533" t="n"/>
    </row>
    <row r="888" ht="24" customHeight="1">
      <c r="A888" s="539" t="n"/>
      <c r="B888" s="539" t="n"/>
      <c r="C888" s="571" t="n"/>
      <c r="D888" s="533" t="n"/>
      <c r="E888" s="533" t="n"/>
      <c r="F888" s="533" t="n"/>
      <c r="G888" s="533" t="n"/>
      <c r="H888" s="533" t="n"/>
    </row>
    <row r="889" ht="24" customHeight="1">
      <c r="A889" s="539" t="n"/>
      <c r="B889" s="539" t="n"/>
      <c r="C889" s="571" t="n"/>
      <c r="D889" s="533" t="n"/>
      <c r="E889" s="533" t="n"/>
      <c r="F889" s="533" t="n"/>
      <c r="G889" s="533" t="n"/>
      <c r="H889" s="533" t="n"/>
    </row>
    <row r="890" ht="24" customHeight="1">
      <c r="A890" s="539" t="n"/>
      <c r="B890" s="539" t="n"/>
      <c r="C890" s="571" t="n"/>
      <c r="D890" s="533" t="n"/>
      <c r="E890" s="533" t="n"/>
      <c r="F890" s="533" t="n"/>
      <c r="G890" s="533" t="n"/>
      <c r="H890" s="533" t="n"/>
    </row>
    <row r="891" ht="24" customHeight="1">
      <c r="A891" s="539" t="n"/>
      <c r="B891" s="539" t="n"/>
      <c r="C891" s="571" t="n"/>
      <c r="D891" s="533" t="n"/>
      <c r="E891" s="533" t="n"/>
      <c r="F891" s="533" t="n"/>
      <c r="G891" s="533" t="n"/>
      <c r="H891" s="533" t="n"/>
    </row>
    <row r="892" ht="24" customHeight="1">
      <c r="A892" s="539" t="n"/>
      <c r="B892" s="539" t="n"/>
      <c r="C892" s="571" t="n"/>
      <c r="D892" s="533" t="n"/>
      <c r="E892" s="533" t="n"/>
      <c r="F892" s="533" t="n"/>
      <c r="G892" s="533" t="n"/>
      <c r="H892" s="533" t="n"/>
    </row>
    <row r="893" ht="24" customHeight="1">
      <c r="A893" s="539" t="n"/>
      <c r="B893" s="539" t="n"/>
      <c r="C893" s="571" t="n"/>
      <c r="D893" s="533" t="n"/>
      <c r="E893" s="533" t="n"/>
      <c r="F893" s="533" t="n"/>
      <c r="G893" s="533" t="n"/>
      <c r="H893" s="533" t="n"/>
    </row>
    <row r="894" ht="24" customHeight="1">
      <c r="A894" s="539" t="n"/>
      <c r="B894" s="539" t="n"/>
      <c r="C894" s="571" t="n"/>
      <c r="D894" s="533" t="n"/>
      <c r="E894" s="533" t="n"/>
      <c r="F894" s="533" t="n"/>
      <c r="G894" s="533" t="n"/>
      <c r="H894" s="533" t="n"/>
    </row>
    <row r="895" ht="24" customHeight="1">
      <c r="A895" s="539" t="n"/>
      <c r="B895" s="539" t="n"/>
      <c r="C895" s="571" t="n"/>
      <c r="D895" s="533" t="n"/>
      <c r="E895" s="533" t="n"/>
      <c r="F895" s="533" t="n"/>
      <c r="G895" s="533" t="n"/>
      <c r="H895" s="533" t="n"/>
    </row>
    <row r="896" ht="24" customHeight="1">
      <c r="A896" s="539" t="n"/>
      <c r="B896" s="539" t="n"/>
      <c r="C896" s="571" t="n"/>
      <c r="D896" s="533" t="n"/>
      <c r="E896" s="533" t="n"/>
      <c r="F896" s="533" t="n"/>
      <c r="G896" s="533" t="n"/>
      <c r="H896" s="533" t="n"/>
    </row>
    <row r="897" ht="24" customHeight="1">
      <c r="A897" s="539" t="n"/>
      <c r="B897" s="539" t="n"/>
      <c r="C897" s="571" t="n"/>
      <c r="D897" s="533" t="n"/>
      <c r="E897" s="533" t="n"/>
      <c r="F897" s="533" t="n"/>
      <c r="G897" s="533" t="n"/>
      <c r="H897" s="533" t="n"/>
    </row>
    <row r="898" ht="24" customHeight="1">
      <c r="A898" s="539" t="n"/>
      <c r="B898" s="539" t="n"/>
      <c r="C898" s="571" t="n"/>
      <c r="D898" s="533" t="n"/>
      <c r="E898" s="533" t="n"/>
      <c r="F898" s="533" t="n"/>
      <c r="G898" s="533" t="n"/>
      <c r="H898" s="533" t="n"/>
    </row>
    <row r="899" ht="24" customHeight="1">
      <c r="A899" s="539" t="n"/>
      <c r="B899" s="539" t="n"/>
      <c r="C899" s="571" t="n"/>
      <c r="D899" s="533" t="n"/>
      <c r="E899" s="533" t="n"/>
      <c r="F899" s="533" t="n"/>
      <c r="G899" s="533" t="n"/>
      <c r="H899" s="533" t="n"/>
    </row>
    <row r="900" ht="24" customHeight="1">
      <c r="A900" s="539" t="n"/>
      <c r="B900" s="539" t="n"/>
      <c r="C900" s="571" t="n"/>
      <c r="D900" s="533" t="n"/>
      <c r="E900" s="533" t="n"/>
      <c r="F900" s="533" t="n"/>
      <c r="G900" s="533" t="n"/>
      <c r="H900" s="533" t="n"/>
    </row>
    <row r="901" ht="24" customHeight="1">
      <c r="A901" s="539" t="n"/>
      <c r="B901" s="539" t="n"/>
      <c r="C901" s="571" t="n"/>
      <c r="D901" s="533" t="n"/>
      <c r="E901" s="533" t="n"/>
      <c r="F901" s="533" t="n"/>
      <c r="G901" s="533" t="n"/>
      <c r="H901" s="533" t="n"/>
    </row>
    <row r="902" ht="24" customHeight="1">
      <c r="A902" s="539" t="n"/>
      <c r="B902" s="539" t="n"/>
      <c r="C902" s="571" t="n"/>
      <c r="D902" s="533" t="n"/>
      <c r="E902" s="533" t="n"/>
      <c r="F902" s="533" t="n"/>
      <c r="G902" s="533" t="n"/>
      <c r="H902" s="533" t="n"/>
    </row>
    <row r="903" ht="24" customHeight="1">
      <c r="A903" s="539" t="n"/>
      <c r="B903" s="539" t="n"/>
      <c r="C903" s="571" t="n"/>
      <c r="D903" s="533" t="n"/>
      <c r="E903" s="533" t="n"/>
      <c r="F903" s="533" t="n"/>
      <c r="G903" s="533" t="n"/>
      <c r="H903" s="533" t="n"/>
    </row>
    <row r="904" ht="24" customHeight="1">
      <c r="A904" s="539" t="n"/>
      <c r="B904" s="539" t="n"/>
      <c r="C904" s="571" t="n"/>
      <c r="D904" s="533" t="n"/>
      <c r="E904" s="533" t="n"/>
      <c r="F904" s="533" t="n"/>
      <c r="G904" s="533" t="n"/>
      <c r="H904" s="533" t="n"/>
    </row>
    <row r="905" ht="24" customHeight="1">
      <c r="A905" s="539" t="n"/>
      <c r="B905" s="539" t="n"/>
      <c r="C905" s="571" t="n"/>
      <c r="D905" s="533" t="n"/>
      <c r="E905" s="533" t="n"/>
      <c r="F905" s="533" t="n"/>
      <c r="G905" s="533" t="n"/>
      <c r="H905" s="533" t="n"/>
    </row>
    <row r="906" ht="24" customHeight="1">
      <c r="A906" s="539" t="n"/>
      <c r="B906" s="539" t="n"/>
      <c r="C906" s="571" t="n"/>
      <c r="D906" s="533" t="n"/>
      <c r="E906" s="533" t="n"/>
      <c r="F906" s="533" t="n"/>
      <c r="G906" s="533" t="n"/>
      <c r="H906" s="533" t="n"/>
    </row>
    <row r="907" ht="24" customHeight="1">
      <c r="A907" s="539" t="n"/>
      <c r="B907" s="539" t="n"/>
      <c r="C907" s="571" t="n"/>
      <c r="D907" s="533" t="n"/>
      <c r="E907" s="533" t="n"/>
      <c r="F907" s="533" t="n"/>
      <c r="G907" s="533" t="n"/>
      <c r="H907" s="533" t="n"/>
    </row>
    <row r="908" ht="24" customHeight="1">
      <c r="A908" s="539" t="n"/>
      <c r="B908" s="539" t="n"/>
      <c r="C908" s="571" t="n"/>
      <c r="D908" s="533" t="n"/>
      <c r="E908" s="533" t="n"/>
      <c r="F908" s="533" t="n"/>
      <c r="G908" s="533" t="n"/>
      <c r="H908" s="533" t="n"/>
    </row>
    <row r="909" ht="24" customHeight="1">
      <c r="A909" s="539" t="n"/>
      <c r="B909" s="539" t="n"/>
      <c r="C909" s="571" t="n"/>
      <c r="D909" s="533" t="n"/>
      <c r="E909" s="533" t="n"/>
      <c r="F909" s="533" t="n"/>
      <c r="G909" s="533" t="n"/>
      <c r="H909" s="533" t="n"/>
    </row>
    <row r="910" ht="24" customHeight="1">
      <c r="A910" s="539" t="n"/>
      <c r="B910" s="539" t="n"/>
      <c r="C910" s="571" t="n"/>
      <c r="D910" s="533" t="n"/>
      <c r="E910" s="533" t="n"/>
      <c r="F910" s="533" t="n"/>
      <c r="G910" s="533" t="n"/>
      <c r="H910" s="533" t="n"/>
    </row>
    <row r="911" ht="24" customHeight="1">
      <c r="A911" s="539" t="n"/>
      <c r="B911" s="539" t="n"/>
      <c r="C911" s="571" t="n"/>
      <c r="D911" s="533" t="n"/>
      <c r="E911" s="533" t="n"/>
      <c r="F911" s="533" t="n"/>
      <c r="G911" s="533" t="n"/>
      <c r="H911" s="533" t="n"/>
    </row>
    <row r="912" ht="24" customHeight="1">
      <c r="A912" s="539" t="n"/>
      <c r="B912" s="539" t="n"/>
      <c r="C912" s="571" t="n"/>
      <c r="D912" s="533" t="n"/>
      <c r="E912" s="533" t="n"/>
      <c r="F912" s="533" t="n"/>
      <c r="G912" s="533" t="n"/>
      <c r="H912" s="533" t="n"/>
    </row>
    <row r="913" ht="24" customHeight="1">
      <c r="A913" s="539" t="n"/>
      <c r="B913" s="539" t="n"/>
      <c r="C913" s="571" t="n"/>
      <c r="D913" s="533" t="n"/>
      <c r="E913" s="533" t="n"/>
      <c r="F913" s="533" t="n"/>
      <c r="G913" s="533" t="n"/>
      <c r="H913" s="533" t="n"/>
    </row>
    <row r="914" ht="24" customHeight="1">
      <c r="A914" s="539" t="n"/>
      <c r="B914" s="539" t="n"/>
      <c r="C914" s="571" t="n"/>
      <c r="D914" s="533" t="n"/>
      <c r="E914" s="533" t="n"/>
      <c r="F914" s="533" t="n"/>
      <c r="G914" s="533" t="n"/>
      <c r="H914" s="533" t="n"/>
    </row>
    <row r="915" ht="24" customHeight="1">
      <c r="A915" s="539" t="n"/>
      <c r="B915" s="539" t="n"/>
      <c r="C915" s="571" t="n"/>
      <c r="D915" s="533" t="n"/>
      <c r="E915" s="533" t="n"/>
      <c r="F915" s="533" t="n"/>
      <c r="G915" s="533" t="n"/>
      <c r="H915" s="533" t="n"/>
    </row>
    <row r="916" ht="24" customHeight="1">
      <c r="A916" s="539" t="n"/>
      <c r="B916" s="539" t="n"/>
      <c r="C916" s="571" t="n"/>
      <c r="D916" s="533" t="n"/>
      <c r="E916" s="533" t="n"/>
      <c r="F916" s="533" t="n"/>
      <c r="G916" s="533" t="n"/>
      <c r="H916" s="533" t="n"/>
    </row>
    <row r="917" ht="24" customHeight="1">
      <c r="A917" s="539" t="n"/>
      <c r="B917" s="539" t="n"/>
      <c r="C917" s="571" t="n"/>
      <c r="D917" s="533" t="n"/>
      <c r="E917" s="533" t="n"/>
      <c r="F917" s="533" t="n"/>
      <c r="G917" s="533" t="n"/>
      <c r="H917" s="533" t="n"/>
    </row>
    <row r="918" ht="24" customHeight="1">
      <c r="A918" s="539" t="n"/>
      <c r="B918" s="539" t="n"/>
      <c r="C918" s="571" t="n"/>
      <c r="D918" s="533" t="n"/>
      <c r="E918" s="533" t="n"/>
      <c r="F918" s="533" t="n"/>
      <c r="G918" s="533" t="n"/>
      <c r="H918" s="533" t="n"/>
    </row>
    <row r="919" ht="24" customHeight="1">
      <c r="A919" s="539" t="n"/>
      <c r="B919" s="539" t="n"/>
      <c r="C919" s="571" t="n"/>
      <c r="D919" s="533" t="n"/>
      <c r="E919" s="533" t="n"/>
      <c r="F919" s="533" t="n"/>
      <c r="G919" s="533" t="n"/>
      <c r="H919" s="533" t="n"/>
    </row>
    <row r="920" ht="24" customHeight="1">
      <c r="A920" s="539" t="n"/>
      <c r="B920" s="539" t="n"/>
      <c r="C920" s="571" t="n"/>
      <c r="D920" s="533" t="n"/>
      <c r="E920" s="533" t="n"/>
      <c r="F920" s="533" t="n"/>
      <c r="G920" s="533" t="n"/>
      <c r="H920" s="533" t="n"/>
    </row>
    <row r="921" ht="24" customHeight="1">
      <c r="A921" s="539" t="n"/>
      <c r="B921" s="539" t="n"/>
      <c r="C921" s="571" t="n"/>
      <c r="D921" s="533" t="n"/>
      <c r="E921" s="533" t="n"/>
      <c r="F921" s="533" t="n"/>
      <c r="G921" s="533" t="n"/>
      <c r="H921" s="533" t="n"/>
    </row>
    <row r="922" ht="24" customHeight="1">
      <c r="A922" s="539" t="n"/>
      <c r="B922" s="539" t="n"/>
      <c r="C922" s="571" t="n"/>
      <c r="D922" s="533" t="n"/>
      <c r="E922" s="533" t="n"/>
      <c r="F922" s="533" t="n"/>
      <c r="G922" s="533" t="n"/>
      <c r="H922" s="533" t="n"/>
    </row>
    <row r="923" ht="24" customHeight="1">
      <c r="A923" s="539" t="n"/>
      <c r="B923" s="539" t="n"/>
      <c r="C923" s="571" t="n"/>
      <c r="D923" s="533" t="n"/>
      <c r="E923" s="533" t="n"/>
      <c r="F923" s="533" t="n"/>
      <c r="G923" s="533" t="n"/>
      <c r="H923" s="533" t="n"/>
    </row>
    <row r="924" ht="24" customHeight="1">
      <c r="A924" s="539" t="n"/>
      <c r="B924" s="539" t="n"/>
      <c r="C924" s="571" t="n"/>
      <c r="D924" s="533" t="n"/>
      <c r="E924" s="533" t="n"/>
      <c r="F924" s="533" t="n"/>
      <c r="G924" s="533" t="n"/>
      <c r="H924" s="533" t="n"/>
    </row>
    <row r="925" ht="24" customHeight="1">
      <c r="A925" s="539" t="n"/>
      <c r="B925" s="539" t="n"/>
      <c r="C925" s="571" t="n"/>
      <c r="D925" s="533" t="n"/>
      <c r="E925" s="533" t="n"/>
      <c r="F925" s="533" t="n"/>
      <c r="G925" s="533" t="n"/>
      <c r="H925" s="533" t="n"/>
    </row>
    <row r="926" ht="24" customHeight="1">
      <c r="A926" s="539" t="n"/>
      <c r="B926" s="539" t="n"/>
      <c r="C926" s="571" t="n"/>
      <c r="D926" s="533" t="n"/>
      <c r="E926" s="533" t="n"/>
      <c r="F926" s="533" t="n"/>
      <c r="G926" s="533" t="n"/>
      <c r="H926" s="533" t="n"/>
    </row>
    <row r="927" ht="24" customHeight="1">
      <c r="A927" s="539" t="n"/>
      <c r="B927" s="539" t="n"/>
      <c r="C927" s="571" t="n"/>
      <c r="D927" s="533" t="n"/>
      <c r="E927" s="533" t="n"/>
      <c r="F927" s="533" t="n"/>
      <c r="G927" s="533" t="n"/>
      <c r="H927" s="533" t="n"/>
    </row>
    <row r="928" ht="24" customHeight="1">
      <c r="A928" s="539" t="n"/>
      <c r="B928" s="539" t="n"/>
      <c r="C928" s="571" t="n"/>
      <c r="D928" s="533" t="n"/>
      <c r="E928" s="533" t="n"/>
      <c r="F928" s="533" t="n"/>
      <c r="G928" s="533" t="n"/>
      <c r="H928" s="533" t="n"/>
    </row>
    <row r="929" ht="24" customHeight="1">
      <c r="A929" s="539" t="n"/>
      <c r="B929" s="539" t="n"/>
      <c r="C929" s="571" t="n"/>
      <c r="D929" s="533" t="n"/>
      <c r="E929" s="533" t="n"/>
      <c r="F929" s="533" t="n"/>
      <c r="G929" s="533" t="n"/>
      <c r="H929" s="533" t="n"/>
    </row>
    <row r="930" ht="24" customHeight="1">
      <c r="A930" s="539" t="n"/>
      <c r="B930" s="539" t="n"/>
      <c r="C930" s="571" t="n"/>
      <c r="D930" s="533" t="n"/>
      <c r="E930" s="533" t="n"/>
      <c r="F930" s="533" t="n"/>
      <c r="G930" s="533" t="n"/>
      <c r="H930" s="533" t="n"/>
    </row>
    <row r="931" ht="24" customHeight="1">
      <c r="A931" s="539" t="n"/>
      <c r="B931" s="539" t="n"/>
      <c r="C931" s="571" t="n"/>
      <c r="D931" s="533" t="n"/>
      <c r="E931" s="533" t="n"/>
      <c r="F931" s="533" t="n"/>
      <c r="G931" s="533" t="n"/>
      <c r="H931" s="533" t="n"/>
    </row>
    <row r="932" ht="24" customHeight="1">
      <c r="A932" s="539" t="n"/>
      <c r="B932" s="539" t="n"/>
      <c r="C932" s="571" t="n"/>
      <c r="D932" s="533" t="n"/>
      <c r="E932" s="533" t="n"/>
      <c r="F932" s="533" t="n"/>
      <c r="G932" s="533" t="n"/>
      <c r="H932" s="533" t="n"/>
    </row>
    <row r="933" ht="24" customHeight="1">
      <c r="A933" s="539" t="n"/>
      <c r="B933" s="539" t="n"/>
      <c r="C933" s="571" t="n"/>
      <c r="D933" s="533" t="n"/>
      <c r="E933" s="533" t="n"/>
      <c r="F933" s="533" t="n"/>
      <c r="G933" s="533" t="n"/>
      <c r="H933" s="533" t="n"/>
    </row>
    <row r="934" ht="24" customHeight="1">
      <c r="A934" s="539" t="n"/>
      <c r="B934" s="539" t="n"/>
      <c r="C934" s="571" t="n"/>
      <c r="D934" s="533" t="n"/>
      <c r="E934" s="533" t="n"/>
      <c r="F934" s="533" t="n"/>
      <c r="G934" s="533" t="n"/>
      <c r="H934" s="533" t="n"/>
    </row>
    <row r="935" ht="24" customHeight="1">
      <c r="A935" s="539" t="n"/>
      <c r="B935" s="539" t="n"/>
      <c r="C935" s="571" t="n"/>
      <c r="D935" s="533" t="n"/>
      <c r="E935" s="533" t="n"/>
      <c r="F935" s="533" t="n"/>
      <c r="G935" s="533" t="n"/>
      <c r="H935" s="533" t="n"/>
    </row>
    <row r="936" ht="24" customHeight="1">
      <c r="A936" s="539" t="n"/>
      <c r="B936" s="539" t="n"/>
      <c r="C936" s="571" t="n"/>
      <c r="D936" s="533" t="n"/>
      <c r="E936" s="533" t="n"/>
      <c r="F936" s="533" t="n"/>
      <c r="G936" s="533" t="n"/>
      <c r="H936" s="533" t="n"/>
    </row>
    <row r="937" ht="24" customHeight="1">
      <c r="A937" s="539" t="n"/>
      <c r="B937" s="539" t="n"/>
      <c r="C937" s="571" t="n"/>
      <c r="D937" s="533" t="n"/>
      <c r="E937" s="533" t="n"/>
      <c r="F937" s="533" t="n"/>
      <c r="G937" s="533" t="n"/>
      <c r="H937" s="533" t="n"/>
    </row>
    <row r="938" ht="24" customHeight="1">
      <c r="A938" s="539" t="n"/>
      <c r="B938" s="539" t="n"/>
      <c r="C938" s="571" t="n"/>
      <c r="D938" s="533" t="n"/>
      <c r="E938" s="533" t="n"/>
      <c r="F938" s="533" t="n"/>
      <c r="G938" s="533" t="n"/>
      <c r="H938" s="533" t="n"/>
    </row>
    <row r="939" ht="24" customHeight="1">
      <c r="A939" s="539" t="n"/>
      <c r="B939" s="539" t="n"/>
      <c r="C939" s="571" t="n"/>
      <c r="D939" s="533" t="n"/>
      <c r="E939" s="533" t="n"/>
      <c r="F939" s="533" t="n"/>
      <c r="G939" s="533" t="n"/>
      <c r="H939" s="533" t="n"/>
    </row>
    <row r="940" ht="24" customHeight="1">
      <c r="A940" s="539" t="n"/>
      <c r="B940" s="539" t="n"/>
      <c r="C940" s="571" t="n"/>
      <c r="D940" s="533" t="n"/>
      <c r="E940" s="533" t="n"/>
      <c r="F940" s="533" t="n"/>
      <c r="G940" s="533" t="n"/>
      <c r="H940" s="533" t="n"/>
    </row>
    <row r="941" ht="24" customHeight="1">
      <c r="A941" s="539" t="n"/>
      <c r="B941" s="539" t="n"/>
      <c r="C941" s="571" t="n"/>
      <c r="D941" s="533" t="n"/>
      <c r="E941" s="533" t="n"/>
      <c r="F941" s="533" t="n"/>
      <c r="G941" s="533" t="n"/>
      <c r="H941" s="533" t="n"/>
    </row>
    <row r="942" ht="24" customHeight="1">
      <c r="A942" s="539" t="n"/>
      <c r="B942" s="539" t="n"/>
      <c r="C942" s="571" t="n"/>
      <c r="D942" s="533" t="n"/>
      <c r="E942" s="533" t="n"/>
      <c r="F942" s="533" t="n"/>
      <c r="G942" s="533" t="n"/>
      <c r="H942" s="533" t="n"/>
    </row>
    <row r="943" ht="24" customHeight="1">
      <c r="A943" s="539" t="n"/>
      <c r="B943" s="539" t="n"/>
      <c r="C943" s="571" t="n"/>
      <c r="D943" s="533" t="n"/>
      <c r="E943" s="533" t="n"/>
      <c r="F943" s="533" t="n"/>
      <c r="G943" s="533" t="n"/>
      <c r="H943" s="533" t="n"/>
    </row>
    <row r="944" ht="24" customHeight="1">
      <c r="A944" s="539" t="n"/>
      <c r="B944" s="539" t="n"/>
      <c r="C944" s="571" t="n"/>
      <c r="D944" s="533" t="n"/>
      <c r="E944" s="533" t="n"/>
      <c r="F944" s="533" t="n"/>
      <c r="G944" s="533" t="n"/>
      <c r="H944" s="533" t="n"/>
    </row>
    <row r="945" ht="24" customHeight="1">
      <c r="A945" s="539" t="n"/>
      <c r="B945" s="539" t="n"/>
      <c r="C945" s="571" t="n"/>
      <c r="D945" s="533" t="n"/>
      <c r="E945" s="533" t="n"/>
      <c r="F945" s="533" t="n"/>
      <c r="G945" s="533" t="n"/>
      <c r="H945" s="533" t="n"/>
    </row>
    <row r="946" ht="24" customHeight="1">
      <c r="A946" s="539" t="n"/>
      <c r="B946" s="539" t="n"/>
      <c r="C946" s="571" t="n"/>
      <c r="D946" s="533" t="n"/>
      <c r="E946" s="533" t="n"/>
      <c r="F946" s="533" t="n"/>
      <c r="G946" s="533" t="n"/>
      <c r="H946" s="533" t="n"/>
    </row>
    <row r="947" ht="24" customHeight="1">
      <c r="A947" s="539" t="n"/>
      <c r="B947" s="539" t="n"/>
      <c r="C947" s="571" t="n"/>
      <c r="D947" s="533" t="n"/>
      <c r="E947" s="533" t="n"/>
      <c r="F947" s="533" t="n"/>
      <c r="G947" s="533" t="n"/>
      <c r="H947" s="533" t="n"/>
    </row>
    <row r="948" ht="24" customHeight="1">
      <c r="A948" s="539" t="n"/>
      <c r="B948" s="539" t="n"/>
      <c r="C948" s="571" t="n"/>
      <c r="D948" s="533" t="n"/>
      <c r="E948" s="533" t="n"/>
      <c r="F948" s="533" t="n"/>
      <c r="G948" s="533" t="n"/>
      <c r="H948" s="533" t="n"/>
    </row>
    <row r="949" ht="24" customHeight="1">
      <c r="A949" s="539" t="n"/>
      <c r="B949" s="539" t="n"/>
      <c r="C949" s="571" t="n"/>
      <c r="D949" s="533" t="n"/>
      <c r="E949" s="533" t="n"/>
      <c r="F949" s="533" t="n"/>
      <c r="G949" s="533" t="n"/>
      <c r="H949" s="533" t="n"/>
    </row>
    <row r="950" ht="24" customHeight="1">
      <c r="A950" s="539" t="n"/>
      <c r="B950" s="539" t="n"/>
      <c r="C950" s="571" t="n"/>
      <c r="D950" s="533" t="n"/>
      <c r="E950" s="533" t="n"/>
      <c r="F950" s="533" t="n"/>
      <c r="G950" s="533" t="n"/>
      <c r="H950" s="533" t="n"/>
    </row>
    <row r="951" ht="24" customHeight="1">
      <c r="A951" s="539" t="n"/>
      <c r="B951" s="539" t="n"/>
      <c r="C951" s="571" t="n"/>
      <c r="D951" s="533" t="n"/>
      <c r="E951" s="533" t="n"/>
      <c r="F951" s="533" t="n"/>
      <c r="G951" s="533" t="n"/>
      <c r="H951" s="533" t="n"/>
    </row>
    <row r="952" ht="24" customHeight="1">
      <c r="A952" s="539" t="n"/>
      <c r="B952" s="539" t="n"/>
      <c r="C952" s="571" t="n"/>
      <c r="D952" s="533" t="n"/>
      <c r="E952" s="533" t="n"/>
      <c r="F952" s="533" t="n"/>
      <c r="G952" s="533" t="n"/>
      <c r="H952" s="533" t="n"/>
    </row>
    <row r="953" ht="24" customHeight="1">
      <c r="A953" s="539" t="n"/>
      <c r="B953" s="539" t="n"/>
      <c r="C953" s="571" t="n"/>
      <c r="D953" s="533" t="n"/>
      <c r="E953" s="533" t="n"/>
      <c r="F953" s="533" t="n"/>
      <c r="G953" s="533" t="n"/>
      <c r="H953" s="533" t="n"/>
    </row>
    <row r="954" ht="24" customHeight="1">
      <c r="A954" s="539" t="n"/>
      <c r="B954" s="539" t="n"/>
      <c r="C954" s="571" t="n"/>
      <c r="D954" s="533" t="n"/>
      <c r="E954" s="533" t="n"/>
      <c r="F954" s="533" t="n"/>
      <c r="G954" s="533" t="n"/>
      <c r="H954" s="533" t="n"/>
    </row>
    <row r="955" ht="24" customHeight="1">
      <c r="A955" s="539" t="n"/>
      <c r="B955" s="539" t="n"/>
      <c r="C955" s="571" t="n"/>
      <c r="D955" s="533" t="n"/>
      <c r="E955" s="533" t="n"/>
      <c r="F955" s="533" t="n"/>
      <c r="G955" s="533" t="n"/>
      <c r="H955" s="533" t="n"/>
    </row>
    <row r="956" ht="24" customHeight="1">
      <c r="A956" s="539" t="n"/>
      <c r="B956" s="539" t="n"/>
      <c r="C956" s="571" t="n"/>
      <c r="D956" s="533" t="n"/>
      <c r="E956" s="533" t="n"/>
      <c r="F956" s="533" t="n"/>
      <c r="G956" s="533" t="n"/>
      <c r="H956" s="533" t="n"/>
    </row>
    <row r="957" ht="24" customHeight="1">
      <c r="A957" s="539" t="n"/>
      <c r="B957" s="539" t="n"/>
      <c r="C957" s="571" t="n"/>
      <c r="D957" s="533" t="n"/>
      <c r="E957" s="533" t="n"/>
      <c r="F957" s="533" t="n"/>
      <c r="G957" s="533" t="n"/>
      <c r="H957" s="533" t="n"/>
    </row>
    <row r="958" ht="24" customHeight="1">
      <c r="A958" s="539" t="n"/>
      <c r="B958" s="539" t="n"/>
      <c r="C958" s="571" t="n"/>
      <c r="D958" s="533" t="n"/>
      <c r="E958" s="533" t="n"/>
      <c r="F958" s="533" t="n"/>
      <c r="G958" s="533" t="n"/>
      <c r="H958" s="533" t="n"/>
    </row>
    <row r="959" ht="24" customHeight="1">
      <c r="A959" s="539" t="n"/>
      <c r="B959" s="539" t="n"/>
      <c r="C959" s="571" t="n"/>
      <c r="D959" s="533" t="n"/>
      <c r="E959" s="533" t="n"/>
      <c r="F959" s="533" t="n"/>
      <c r="G959" s="533" t="n"/>
      <c r="H959" s="533" t="n"/>
    </row>
    <row r="960" ht="24" customHeight="1">
      <c r="A960" s="539" t="n"/>
      <c r="B960" s="539" t="n"/>
      <c r="C960" s="571" t="n"/>
      <c r="D960" s="533" t="n"/>
      <c r="E960" s="533" t="n"/>
      <c r="F960" s="533" t="n"/>
      <c r="G960" s="533" t="n"/>
      <c r="H960" s="533" t="n"/>
    </row>
    <row r="961" ht="24" customHeight="1">
      <c r="A961" s="539" t="n"/>
      <c r="B961" s="539" t="n"/>
      <c r="C961" s="571" t="n"/>
      <c r="D961" s="533" t="n"/>
      <c r="E961" s="533" t="n"/>
      <c r="F961" s="533" t="n"/>
      <c r="G961" s="533" t="n"/>
      <c r="H961" s="533" t="n"/>
    </row>
    <row r="962" ht="24" customHeight="1">
      <c r="A962" s="539" t="n"/>
      <c r="B962" s="539" t="n"/>
      <c r="C962" s="571" t="n"/>
      <c r="D962" s="533" t="n"/>
      <c r="E962" s="533" t="n"/>
      <c r="F962" s="533" t="n"/>
      <c r="G962" s="533" t="n"/>
      <c r="H962" s="533" t="n"/>
    </row>
    <row r="963" ht="24" customHeight="1">
      <c r="A963" s="539" t="n"/>
      <c r="B963" s="539" t="n"/>
      <c r="C963" s="571" t="n"/>
      <c r="D963" s="533" t="n"/>
      <c r="E963" s="533" t="n"/>
      <c r="F963" s="533" t="n"/>
      <c r="G963" s="533" t="n"/>
      <c r="H963" s="533" t="n"/>
    </row>
    <row r="964" ht="24" customHeight="1">
      <c r="A964" s="539" t="n"/>
      <c r="B964" s="539" t="n"/>
      <c r="C964" s="571" t="n"/>
      <c r="D964" s="533" t="n"/>
      <c r="E964" s="533" t="n"/>
      <c r="F964" s="533" t="n"/>
      <c r="G964" s="533" t="n"/>
      <c r="H964" s="533" t="n"/>
    </row>
    <row r="965" ht="24" customHeight="1">
      <c r="A965" s="539" t="n"/>
      <c r="B965" s="539" t="n"/>
      <c r="C965" s="571" t="n"/>
      <c r="D965" s="533" t="n"/>
      <c r="E965" s="533" t="n"/>
      <c r="F965" s="533" t="n"/>
      <c r="G965" s="533" t="n"/>
      <c r="H965" s="533" t="n"/>
    </row>
    <row r="966" ht="24" customHeight="1">
      <c r="A966" s="539" t="n"/>
      <c r="B966" s="539" t="n"/>
      <c r="C966" s="571" t="n"/>
      <c r="D966" s="533" t="n"/>
      <c r="E966" s="533" t="n"/>
      <c r="F966" s="533" t="n"/>
      <c r="G966" s="533" t="n"/>
      <c r="H966" s="533" t="n"/>
    </row>
    <row r="967" ht="24" customHeight="1">
      <c r="A967" s="539" t="n"/>
      <c r="B967" s="539" t="n"/>
      <c r="C967" s="571" t="n"/>
      <c r="D967" s="533" t="n"/>
      <c r="E967" s="533" t="n"/>
      <c r="F967" s="533" t="n"/>
      <c r="G967" s="533" t="n"/>
      <c r="H967" s="533" t="n"/>
    </row>
    <row r="968" ht="24" customHeight="1">
      <c r="A968" s="539" t="n"/>
      <c r="B968" s="539" t="n"/>
      <c r="C968" s="571" t="n"/>
      <c r="D968" s="533" t="n"/>
      <c r="E968" s="533" t="n"/>
      <c r="F968" s="533" t="n"/>
      <c r="G968" s="533" t="n"/>
      <c r="H968" s="533" t="n"/>
    </row>
    <row r="969" ht="24" customHeight="1">
      <c r="A969" s="539" t="n"/>
      <c r="B969" s="539" t="n"/>
      <c r="C969" s="571" t="n"/>
      <c r="D969" s="533" t="n"/>
      <c r="E969" s="533" t="n"/>
      <c r="F969" s="533" t="n"/>
      <c r="G969" s="533" t="n"/>
      <c r="H969" s="533" t="n"/>
    </row>
    <row r="970" ht="24" customHeight="1">
      <c r="A970" s="539" t="n"/>
      <c r="B970" s="539" t="n"/>
      <c r="C970" s="571" t="n"/>
      <c r="D970" s="533" t="n"/>
      <c r="E970" s="533" t="n"/>
      <c r="F970" s="533" t="n"/>
      <c r="G970" s="533" t="n"/>
      <c r="H970" s="533" t="n"/>
    </row>
    <row r="971" ht="24" customHeight="1">
      <c r="A971" s="539" t="n"/>
      <c r="B971" s="539" t="n"/>
      <c r="C971" s="571" t="n"/>
      <c r="D971" s="533" t="n"/>
      <c r="E971" s="533" t="n"/>
      <c r="F971" s="533" t="n"/>
      <c r="G971" s="533" t="n"/>
      <c r="H971" s="533" t="n"/>
    </row>
    <row r="972" ht="24" customHeight="1">
      <c r="A972" s="539" t="n"/>
      <c r="B972" s="539" t="n"/>
      <c r="C972" s="571" t="n"/>
      <c r="D972" s="533" t="n"/>
      <c r="E972" s="533" t="n"/>
      <c r="F972" s="533" t="n"/>
      <c r="G972" s="533" t="n"/>
      <c r="H972" s="533" t="n"/>
    </row>
    <row r="973" ht="24" customHeight="1">
      <c r="A973" s="539" t="n"/>
      <c r="B973" s="539" t="n"/>
      <c r="C973" s="571" t="n"/>
      <c r="D973" s="533" t="n"/>
      <c r="E973" s="533" t="n"/>
      <c r="F973" s="533" t="n"/>
      <c r="G973" s="533" t="n"/>
      <c r="H973" s="533" t="n"/>
    </row>
    <row r="974" ht="24" customHeight="1">
      <c r="A974" s="539" t="n"/>
      <c r="B974" s="539" t="n"/>
      <c r="C974" s="571" t="n"/>
      <c r="D974" s="533" t="n"/>
      <c r="E974" s="533" t="n"/>
      <c r="F974" s="533" t="n"/>
      <c r="G974" s="533" t="n"/>
      <c r="H974" s="533" t="n"/>
    </row>
    <row r="975" ht="24" customHeight="1">
      <c r="A975" s="539" t="n"/>
      <c r="B975" s="539" t="n"/>
      <c r="C975" s="571" t="n"/>
      <c r="D975" s="533" t="n"/>
      <c r="E975" s="533" t="n"/>
      <c r="F975" s="533" t="n"/>
      <c r="G975" s="533" t="n"/>
      <c r="H975" s="533" t="n"/>
    </row>
    <row r="976" ht="24" customHeight="1">
      <c r="A976" s="539" t="n"/>
      <c r="B976" s="539" t="n"/>
      <c r="C976" s="571" t="n"/>
      <c r="D976" s="533" t="n"/>
      <c r="E976" s="533" t="n"/>
      <c r="F976" s="533" t="n"/>
      <c r="G976" s="533" t="n"/>
      <c r="H976" s="533" t="n"/>
    </row>
    <row r="977" ht="24" customHeight="1">
      <c r="A977" s="539" t="n"/>
      <c r="B977" s="539" t="n"/>
      <c r="C977" s="571" t="n"/>
      <c r="D977" s="533" t="n"/>
      <c r="E977" s="533" t="n"/>
      <c r="F977" s="533" t="n"/>
      <c r="G977" s="533" t="n"/>
      <c r="H977" s="533" t="n"/>
    </row>
    <row r="978" ht="24" customHeight="1">
      <c r="A978" s="539" t="n"/>
      <c r="B978" s="539" t="n"/>
      <c r="C978" s="571" t="n"/>
      <c r="D978" s="533" t="n"/>
      <c r="E978" s="533" t="n"/>
      <c r="F978" s="533" t="n"/>
      <c r="G978" s="533" t="n"/>
      <c r="H978" s="533" t="n"/>
    </row>
    <row r="979" ht="24" customHeight="1">
      <c r="A979" s="539" t="n"/>
      <c r="B979" s="539" t="n"/>
      <c r="C979" s="571" t="n"/>
      <c r="D979" s="533" t="n"/>
      <c r="E979" s="533" t="n"/>
      <c r="F979" s="533" t="n"/>
      <c r="G979" s="533" t="n"/>
      <c r="H979" s="533" t="n"/>
    </row>
    <row r="980" ht="24" customHeight="1">
      <c r="A980" s="539" t="n"/>
      <c r="B980" s="539" t="n"/>
      <c r="C980" s="571" t="n"/>
      <c r="D980" s="533" t="n"/>
      <c r="E980" s="533" t="n"/>
      <c r="F980" s="533" t="n"/>
      <c r="G980" s="533" t="n"/>
      <c r="H980" s="533" t="n"/>
    </row>
    <row r="981" ht="24" customHeight="1">
      <c r="A981" s="539" t="n"/>
      <c r="B981" s="539" t="n"/>
      <c r="C981" s="571" t="n"/>
      <c r="D981" s="533" t="n"/>
      <c r="E981" s="533" t="n"/>
      <c r="F981" s="533" t="n"/>
      <c r="G981" s="533" t="n"/>
      <c r="H981" s="533" t="n"/>
    </row>
    <row r="982" ht="24" customHeight="1">
      <c r="A982" s="539" t="n"/>
      <c r="B982" s="539" t="n"/>
      <c r="C982" s="571" t="n"/>
      <c r="D982" s="533" t="n"/>
      <c r="E982" s="533" t="n"/>
      <c r="F982" s="533" t="n"/>
      <c r="G982" s="533" t="n"/>
      <c r="H982" s="533" t="n"/>
    </row>
    <row r="983" ht="24" customHeight="1">
      <c r="A983" s="539" t="n"/>
      <c r="B983" s="539" t="n"/>
      <c r="C983" s="571" t="n"/>
      <c r="D983" s="533" t="n"/>
      <c r="E983" s="533" t="n"/>
      <c r="F983" s="533" t="n"/>
      <c r="G983" s="533" t="n"/>
      <c r="H983" s="533" t="n"/>
    </row>
    <row r="984" ht="24" customHeight="1">
      <c r="A984" s="539" t="n"/>
      <c r="B984" s="539" t="n"/>
      <c r="C984" s="571" t="n"/>
      <c r="D984" s="533" t="n"/>
      <c r="E984" s="533" t="n"/>
      <c r="F984" s="533" t="n"/>
      <c r="G984" s="533" t="n"/>
      <c r="H984" s="533" t="n"/>
    </row>
    <row r="985" ht="24" customHeight="1">
      <c r="A985" s="539" t="n"/>
      <c r="B985" s="539" t="n"/>
      <c r="C985" s="571" t="n"/>
      <c r="D985" s="533" t="n"/>
      <c r="E985" s="533" t="n"/>
      <c r="F985" s="533" t="n"/>
      <c r="G985" s="533" t="n"/>
      <c r="H985" s="533" t="n"/>
    </row>
    <row r="986" ht="24" customHeight="1">
      <c r="A986" s="539" t="n"/>
      <c r="B986" s="539" t="n"/>
      <c r="C986" s="571" t="n"/>
      <c r="D986" s="533" t="n"/>
      <c r="E986" s="533" t="n"/>
      <c r="F986" s="533" t="n"/>
      <c r="G986" s="533" t="n"/>
      <c r="H986" s="533" t="n"/>
    </row>
    <row r="987" ht="24" customHeight="1">
      <c r="A987" s="539" t="n"/>
      <c r="B987" s="539" t="n"/>
      <c r="C987" s="571" t="n"/>
      <c r="D987" s="533" t="n"/>
      <c r="E987" s="533" t="n"/>
      <c r="F987" s="533" t="n"/>
      <c r="G987" s="533" t="n"/>
      <c r="H987" s="533" t="n"/>
    </row>
    <row r="988" ht="24" customHeight="1">
      <c r="A988" s="539" t="n"/>
      <c r="B988" s="539" t="n"/>
      <c r="C988" s="571" t="n"/>
      <c r="D988" s="533" t="n"/>
      <c r="E988" s="533" t="n"/>
      <c r="F988" s="533" t="n"/>
      <c r="G988" s="533" t="n"/>
      <c r="H988" s="533" t="n"/>
    </row>
    <row r="989" ht="24" customHeight="1">
      <c r="A989" s="539" t="n"/>
      <c r="B989" s="539" t="n"/>
      <c r="C989" s="571" t="n"/>
      <c r="D989" s="533" t="n"/>
      <c r="E989" s="533" t="n"/>
      <c r="F989" s="533" t="n"/>
      <c r="G989" s="533" t="n"/>
      <c r="H989" s="533" t="n"/>
    </row>
    <row r="990" ht="24" customHeight="1">
      <c r="A990" s="539" t="n"/>
      <c r="B990" s="539" t="n"/>
      <c r="C990" s="571" t="n"/>
      <c r="D990" s="533" t="n"/>
      <c r="E990" s="533" t="n"/>
      <c r="F990" s="533" t="n"/>
      <c r="G990" s="533" t="n"/>
      <c r="H990" s="533" t="n"/>
    </row>
    <row r="991" ht="24" customHeight="1">
      <c r="A991" s="539" t="n"/>
      <c r="B991" s="539" t="n"/>
      <c r="C991" s="571" t="n"/>
      <c r="D991" s="533" t="n"/>
      <c r="E991" s="533" t="n"/>
      <c r="F991" s="533" t="n"/>
      <c r="G991" s="533" t="n"/>
      <c r="H991" s="533" t="n"/>
    </row>
    <row r="992" ht="24" customHeight="1">
      <c r="A992" s="539" t="n"/>
      <c r="B992" s="539" t="n"/>
      <c r="C992" s="571" t="n"/>
      <c r="D992" s="533" t="n"/>
      <c r="E992" s="533" t="n"/>
      <c r="F992" s="533" t="n"/>
      <c r="G992" s="533" t="n"/>
      <c r="H992" s="533" t="n"/>
    </row>
    <row r="993" ht="24" customHeight="1">
      <c r="A993" s="539" t="n"/>
      <c r="B993" s="539" t="n"/>
      <c r="C993" s="571" t="n"/>
      <c r="D993" s="533" t="n"/>
      <c r="E993" s="533" t="n"/>
      <c r="F993" s="533" t="n"/>
      <c r="G993" s="533" t="n"/>
      <c r="H993" s="533" t="n"/>
    </row>
    <row r="994" ht="24" customHeight="1">
      <c r="A994" s="539" t="n"/>
      <c r="B994" s="539" t="n"/>
      <c r="C994" s="571" t="n"/>
      <c r="D994" s="533" t="n"/>
      <c r="E994" s="533" t="n"/>
      <c r="F994" s="533" t="n"/>
      <c r="G994" s="533" t="n"/>
      <c r="H994" s="533" t="n"/>
    </row>
    <row r="995" ht="24" customHeight="1">
      <c r="A995" s="539" t="n"/>
      <c r="B995" s="539" t="n"/>
      <c r="C995" s="571" t="n"/>
      <c r="D995" s="533" t="n"/>
      <c r="E995" s="533" t="n"/>
      <c r="F995" s="533" t="n"/>
      <c r="G995" s="533" t="n"/>
      <c r="H995" s="533" t="n"/>
    </row>
    <row r="996" ht="24" customHeight="1">
      <c r="A996" s="539" t="n"/>
      <c r="B996" s="539" t="n"/>
      <c r="C996" s="571" t="n"/>
      <c r="D996" s="533" t="n"/>
      <c r="E996" s="533" t="n"/>
      <c r="F996" s="533" t="n"/>
      <c r="G996" s="533" t="n"/>
      <c r="H996" s="533" t="n"/>
    </row>
    <row r="997" ht="24" customHeight="1">
      <c r="A997" s="539" t="n"/>
      <c r="B997" s="539" t="n"/>
      <c r="C997" s="571" t="n"/>
      <c r="D997" s="533" t="n"/>
      <c r="E997" s="533" t="n"/>
      <c r="F997" s="533" t="n"/>
      <c r="G997" s="533" t="n"/>
      <c r="H997" s="533" t="n"/>
    </row>
    <row r="998" ht="24" customHeight="1">
      <c r="A998" s="539" t="n"/>
      <c r="B998" s="539" t="n"/>
      <c r="C998" s="571" t="n"/>
      <c r="D998" s="533" t="n"/>
      <c r="E998" s="533" t="n"/>
      <c r="F998" s="533" t="n"/>
      <c r="G998" s="533" t="n"/>
      <c r="H998" s="533" t="n"/>
    </row>
    <row r="999" ht="24" customHeight="1">
      <c r="A999" s="539" t="n"/>
      <c r="B999" s="539" t="n"/>
      <c r="C999" s="571" t="n"/>
      <c r="D999" s="533" t="n"/>
      <c r="E999" s="533" t="n"/>
      <c r="F999" s="533" t="n"/>
      <c r="G999" s="533" t="n"/>
      <c r="H999" s="533" t="n"/>
    </row>
    <row r="1000" ht="24" customHeight="1">
      <c r="A1000" s="539" t="n"/>
      <c r="B1000" s="539" t="n"/>
      <c r="C1000" s="571" t="n"/>
      <c r="D1000" s="533" t="n"/>
      <c r="E1000" s="533" t="n"/>
      <c r="F1000" s="533" t="n"/>
      <c r="G1000" s="533" t="n"/>
      <c r="H1000" s="533" t="n"/>
    </row>
    <row r="1001" ht="24" customHeight="1">
      <c r="A1001" s="539" t="n"/>
      <c r="B1001" s="539" t="n"/>
      <c r="C1001" s="571" t="n"/>
      <c r="D1001" s="533" t="n"/>
      <c r="E1001" s="533" t="n"/>
      <c r="F1001" s="533" t="n"/>
      <c r="G1001" s="533" t="n"/>
      <c r="H1001" s="533" t="n"/>
    </row>
    <row r="1002" ht="24" customHeight="1">
      <c r="A1002" s="539" t="n"/>
      <c r="B1002" s="539" t="n"/>
      <c r="C1002" s="571" t="n"/>
      <c r="D1002" s="533" t="n"/>
      <c r="E1002" s="533" t="n"/>
      <c r="F1002" s="533" t="n"/>
      <c r="G1002" s="533" t="n"/>
      <c r="H1002" s="533" t="n"/>
    </row>
    <row r="1003" ht="24" customHeight="1">
      <c r="A1003" s="539" t="n"/>
      <c r="B1003" s="539" t="n"/>
      <c r="C1003" s="571" t="n"/>
      <c r="D1003" s="533" t="n"/>
      <c r="E1003" s="533" t="n"/>
      <c r="F1003" s="533" t="n"/>
      <c r="G1003" s="533" t="n"/>
      <c r="H1003" s="533" t="n"/>
    </row>
    <row r="1004" ht="24" customHeight="1">
      <c r="A1004" s="539" t="n"/>
      <c r="B1004" s="539" t="n"/>
      <c r="C1004" s="571" t="n"/>
      <c r="D1004" s="533" t="n"/>
      <c r="E1004" s="533" t="n"/>
      <c r="F1004" s="533" t="n"/>
      <c r="G1004" s="533" t="n"/>
      <c r="H1004" s="533" t="n"/>
    </row>
    <row r="1005" ht="24" customHeight="1">
      <c r="A1005" s="539" t="n"/>
      <c r="B1005" s="539" t="n"/>
      <c r="C1005" s="571" t="n"/>
      <c r="D1005" s="533" t="n"/>
      <c r="E1005" s="533" t="n"/>
      <c r="F1005" s="533" t="n"/>
      <c r="G1005" s="533" t="n"/>
      <c r="H1005" s="533" t="n"/>
    </row>
    <row r="1006" ht="24" customHeight="1">
      <c r="A1006" s="539" t="n"/>
      <c r="B1006" s="539" t="n"/>
      <c r="C1006" s="571" t="n"/>
      <c r="D1006" s="533" t="n"/>
      <c r="E1006" s="533" t="n"/>
      <c r="F1006" s="533" t="n"/>
      <c r="G1006" s="533" t="n"/>
      <c r="H1006" s="533" t="n"/>
    </row>
    <row r="1007" ht="24" customHeight="1">
      <c r="A1007" s="539" t="n"/>
      <c r="B1007" s="539" t="n"/>
      <c r="C1007" s="571" t="n"/>
      <c r="D1007" s="533" t="n"/>
      <c r="E1007" s="533" t="n"/>
      <c r="F1007" s="533" t="n"/>
      <c r="G1007" s="533" t="n"/>
      <c r="H1007" s="533" t="n"/>
    </row>
    <row r="1008" ht="24" customHeight="1">
      <c r="A1008" s="539" t="n"/>
      <c r="B1008" s="539" t="n"/>
      <c r="C1008" s="571" t="n"/>
      <c r="D1008" s="533" t="n"/>
      <c r="E1008" s="533" t="n"/>
      <c r="F1008" s="533" t="n"/>
      <c r="G1008" s="533" t="n"/>
      <c r="H1008" s="533" t="n"/>
    </row>
    <row r="1009" ht="24" customHeight="1">
      <c r="A1009" s="539" t="n"/>
      <c r="B1009" s="539" t="n"/>
      <c r="C1009" s="571" t="n"/>
      <c r="D1009" s="533" t="n"/>
      <c r="E1009" s="533" t="n"/>
      <c r="F1009" s="533" t="n"/>
      <c r="G1009" s="533" t="n"/>
      <c r="H1009" s="533" t="n"/>
    </row>
    <row r="1010" ht="24" customHeight="1">
      <c r="A1010" s="539" t="n"/>
      <c r="B1010" s="539" t="n"/>
      <c r="C1010" s="571" t="n"/>
      <c r="D1010" s="533" t="n"/>
      <c r="E1010" s="533" t="n"/>
      <c r="F1010" s="533" t="n"/>
      <c r="G1010" s="533" t="n"/>
      <c r="H1010" s="533" t="n"/>
    </row>
    <row r="1011" ht="24" customHeight="1">
      <c r="A1011" s="539" t="n"/>
      <c r="B1011" s="539" t="n"/>
      <c r="C1011" s="571" t="n"/>
      <c r="D1011" s="533" t="n"/>
      <c r="E1011" s="533" t="n"/>
      <c r="F1011" s="533" t="n"/>
      <c r="G1011" s="533" t="n"/>
      <c r="H1011" s="533" t="n"/>
    </row>
    <row r="1012" ht="24" customHeight="1">
      <c r="A1012" s="539" t="n"/>
      <c r="B1012" s="539" t="n"/>
      <c r="C1012" s="571" t="n"/>
      <c r="D1012" s="533" t="n"/>
      <c r="E1012" s="533" t="n"/>
      <c r="F1012" s="533" t="n"/>
      <c r="G1012" s="533" t="n"/>
      <c r="H1012" s="533" t="n"/>
    </row>
    <row r="1013" ht="24" customHeight="1">
      <c r="A1013" s="539" t="n"/>
      <c r="B1013" s="539" t="n"/>
      <c r="C1013" s="571" t="n"/>
      <c r="D1013" s="533" t="n"/>
      <c r="E1013" s="533" t="n"/>
      <c r="F1013" s="533" t="n"/>
      <c r="G1013" s="533" t="n"/>
      <c r="H1013" s="533" t="n"/>
    </row>
    <row r="1014" ht="24" customHeight="1">
      <c r="A1014" s="539" t="n"/>
      <c r="B1014" s="539" t="n"/>
      <c r="C1014" s="571" t="n"/>
      <c r="D1014" s="533" t="n"/>
      <c r="E1014" s="533" t="n"/>
      <c r="F1014" s="533" t="n"/>
      <c r="G1014" s="533" t="n"/>
      <c r="H1014" s="533" t="n"/>
    </row>
    <row r="1015" ht="24" customHeight="1">
      <c r="A1015" s="539" t="n"/>
      <c r="B1015" s="539" t="n"/>
      <c r="C1015" s="571" t="n"/>
      <c r="D1015" s="533" t="n"/>
      <c r="E1015" s="533" t="n"/>
      <c r="F1015" s="533" t="n"/>
      <c r="G1015" s="533" t="n"/>
      <c r="H1015" s="533" t="n"/>
    </row>
    <row r="1016" ht="24" customHeight="1">
      <c r="A1016" s="539" t="n"/>
      <c r="B1016" s="539" t="n"/>
      <c r="C1016" s="571" t="n"/>
      <c r="D1016" s="533" t="n"/>
      <c r="E1016" s="533" t="n"/>
      <c r="F1016" s="533" t="n"/>
      <c r="G1016" s="533" t="n"/>
      <c r="H1016" s="533" t="n"/>
    </row>
    <row r="1017" ht="24" customHeight="1">
      <c r="A1017" s="539" t="n"/>
      <c r="B1017" s="539" t="n"/>
      <c r="C1017" s="571" t="n"/>
      <c r="D1017" s="533" t="n"/>
      <c r="E1017" s="533" t="n"/>
      <c r="F1017" s="533" t="n"/>
      <c r="G1017" s="533" t="n"/>
      <c r="H1017" s="533" t="n"/>
    </row>
    <row r="1018" ht="24" customHeight="1">
      <c r="A1018" s="539" t="n"/>
      <c r="B1018" s="539" t="n"/>
      <c r="C1018" s="571" t="n"/>
      <c r="D1018" s="533" t="n"/>
      <c r="E1018" s="533" t="n"/>
      <c r="F1018" s="533" t="n"/>
      <c r="G1018" s="533" t="n"/>
      <c r="H1018" s="533" t="n"/>
    </row>
    <row r="1019" ht="24" customHeight="1">
      <c r="A1019" s="539" t="n"/>
      <c r="B1019" s="539" t="n"/>
      <c r="C1019" s="571" t="n"/>
      <c r="D1019" s="533" t="n"/>
      <c r="E1019" s="533" t="n"/>
      <c r="F1019" s="533" t="n"/>
      <c r="G1019" s="533" t="n"/>
      <c r="H1019" s="533" t="n"/>
    </row>
    <row r="1020" ht="24" customHeight="1">
      <c r="A1020" s="539" t="n"/>
      <c r="B1020" s="539" t="n"/>
      <c r="C1020" s="571" t="n"/>
      <c r="D1020" s="533" t="n"/>
      <c r="E1020" s="533" t="n"/>
      <c r="F1020" s="533" t="n"/>
      <c r="G1020" s="533" t="n"/>
      <c r="H1020" s="533" t="n"/>
    </row>
    <row r="1021" ht="24" customHeight="1">
      <c r="A1021" s="539" t="n"/>
      <c r="B1021" s="539" t="n"/>
      <c r="C1021" s="571" t="n"/>
      <c r="D1021" s="533" t="n"/>
      <c r="E1021" s="533" t="n"/>
      <c r="F1021" s="533" t="n"/>
      <c r="G1021" s="533" t="n"/>
      <c r="H1021" s="533" t="n"/>
    </row>
    <row r="1022" ht="24" customHeight="1">
      <c r="A1022" s="539" t="n"/>
      <c r="B1022" s="539" t="n"/>
      <c r="C1022" s="571" t="n"/>
      <c r="D1022" s="533" t="n"/>
      <c r="E1022" s="533" t="n"/>
      <c r="F1022" s="533" t="n"/>
      <c r="G1022" s="533" t="n"/>
      <c r="H1022" s="533" t="n"/>
    </row>
    <row r="1023" ht="24" customHeight="1">
      <c r="A1023" s="539" t="n"/>
      <c r="B1023" s="539" t="n"/>
      <c r="C1023" s="571" t="n"/>
      <c r="D1023" s="533" t="n"/>
      <c r="E1023" s="533" t="n"/>
      <c r="F1023" s="533" t="n"/>
      <c r="G1023" s="533" t="n"/>
      <c r="H1023" s="533" t="n"/>
    </row>
    <row r="1024" ht="24" customHeight="1">
      <c r="A1024" s="539" t="n"/>
      <c r="B1024" s="539" t="n"/>
      <c r="C1024" s="571" t="n"/>
      <c r="D1024" s="533" t="n"/>
      <c r="E1024" s="533" t="n"/>
      <c r="F1024" s="533" t="n"/>
      <c r="G1024" s="533" t="n"/>
      <c r="H1024" s="533" t="n"/>
    </row>
    <row r="1025" ht="24" customHeight="1">
      <c r="A1025" s="539" t="n"/>
      <c r="B1025" s="539" t="n"/>
      <c r="C1025" s="571" t="n"/>
      <c r="D1025" s="533" t="n"/>
      <c r="E1025" s="533" t="n"/>
      <c r="F1025" s="533" t="n"/>
      <c r="G1025" s="533" t="n"/>
      <c r="H1025" s="533" t="n"/>
    </row>
    <row r="1026" ht="24" customHeight="1">
      <c r="A1026" s="539" t="n"/>
      <c r="B1026" s="539" t="n"/>
      <c r="C1026" s="571" t="n"/>
      <c r="D1026" s="533" t="n"/>
      <c r="E1026" s="533" t="n"/>
      <c r="F1026" s="533" t="n"/>
      <c r="G1026" s="533" t="n"/>
      <c r="H1026" s="533" t="n"/>
    </row>
    <row r="1027" ht="24" customHeight="1">
      <c r="A1027" s="539" t="n"/>
      <c r="B1027" s="539" t="n"/>
      <c r="C1027" s="571" t="n"/>
      <c r="D1027" s="533" t="n"/>
      <c r="E1027" s="533" t="n"/>
      <c r="F1027" s="533" t="n"/>
      <c r="G1027" s="533" t="n"/>
      <c r="H1027" s="533" t="n"/>
    </row>
    <row r="1028" ht="24" customHeight="1">
      <c r="A1028" s="539" t="n"/>
      <c r="B1028" s="539" t="n"/>
      <c r="C1028" s="571" t="n"/>
      <c r="D1028" s="533" t="n"/>
      <c r="E1028" s="533" t="n"/>
      <c r="F1028" s="533" t="n"/>
      <c r="G1028" s="533" t="n"/>
      <c r="H1028" s="533" t="n"/>
    </row>
    <row r="1029" ht="24" customHeight="1">
      <c r="A1029" s="539" t="n"/>
      <c r="B1029" s="539" t="n"/>
      <c r="C1029" s="571" t="n"/>
      <c r="D1029" s="533" t="n"/>
      <c r="E1029" s="533" t="n"/>
      <c r="F1029" s="533" t="n"/>
      <c r="G1029" s="533" t="n"/>
      <c r="H1029" s="533" t="n"/>
    </row>
    <row r="1030" ht="24" customHeight="1">
      <c r="A1030" s="539" t="n"/>
      <c r="B1030" s="539" t="n"/>
      <c r="C1030" s="571" t="n"/>
      <c r="D1030" s="533" t="n"/>
      <c r="E1030" s="533" t="n"/>
      <c r="F1030" s="533" t="n"/>
      <c r="G1030" s="533" t="n"/>
      <c r="H1030" s="533" t="n"/>
    </row>
    <row r="1031" ht="24" customHeight="1">
      <c r="A1031" s="539" t="n"/>
      <c r="B1031" s="539" t="n"/>
      <c r="C1031" s="571" t="n"/>
      <c r="D1031" s="533" t="n"/>
      <c r="E1031" s="533" t="n"/>
      <c r="F1031" s="533" t="n"/>
      <c r="G1031" s="533" t="n"/>
      <c r="H1031" s="533" t="n"/>
    </row>
    <row r="1032">
      <c r="A1032" s="533" t="n"/>
      <c r="B1032" s="533" t="n"/>
      <c r="C1032" s="533" t="n"/>
      <c r="D1032" s="533" t="n"/>
      <c r="E1032" s="533" t="n"/>
      <c r="F1032" s="533" t="n"/>
      <c r="G1032" s="533" t="n"/>
      <c r="H1032" s="533" t="n"/>
    </row>
    <row r="1033" ht="30" customHeight="1">
      <c r="A1033" s="534" t="inlineStr">
        <is>
          <t>Downside-governance checkpoint</t>
        </is>
      </c>
      <c r="B1033" s="558" t="inlineStr">
        <is>
          <t>[Replace with 2-3 sentences: use fixed-reference results to identify one expected-performance metric, one downside or spread metric, and one risk-tolerance condition that could change a decision; treat F9 variation as optional live exploration only.]</t>
        </is>
      </c>
      <c r="C1033" s="559" t="n"/>
      <c r="D1033" s="559" t="n"/>
      <c r="E1033" s="559" t="n"/>
      <c r="F1033" s="559" t="n"/>
      <c r="G1033" s="559" t="n"/>
      <c r="H1033" s="560" t="n"/>
      <c r="I1033" s="531" t="str">
        <v>B1033: Slides 61. Concise Toolkit pp. 19-25
After-class AI question: Explain Reproducible Stochastic Profit Simulation. Use a different example, then ask me one check question.</v>
      </c>
    </row>
    <row r="1034" ht="30" customHeight="1">
      <c r="A1034" s="533" t="n"/>
      <c r="B1034" s="561" t="n"/>
      <c r="C1034" s="548" t="n"/>
      <c r="D1034" s="548" t="n"/>
      <c r="E1034" s="548" t="n"/>
      <c r="F1034" s="548" t="n"/>
      <c r="G1034" s="548" t="n"/>
      <c r="H1034" s="562" t="n"/>
      <c r="I1034" s="531"/>
    </row>
    <row r="1035" ht="30" customHeight="1">
      <c r="A1035" s="533" t="n"/>
      <c r="B1035" s="563" t="n"/>
      <c r="C1035" s="564" t="n"/>
      <c r="D1035" s="564" t="n"/>
      <c r="E1035" s="564" t="n"/>
      <c r="F1035" s="564" t="n"/>
      <c r="G1035" s="564" t="n"/>
      <c r="H1035" s="565" t="n"/>
      <c r="I1035" s="531"/>
    </row>
    <row r="1036">
      <c r="A1036" s="533" t="n"/>
      <c r="B1036" s="533" t="n"/>
      <c r="C1036" s="533" t="n"/>
      <c r="D1036" s="533" t="n"/>
      <c r="E1036" s="533" t="n"/>
      <c r="F1036" s="533" t="n"/>
      <c r="G1036" s="533" t="n"/>
      <c r="H1036" s="533" t="n"/>
    </row>
    <row r="1037" ht="42.0" customHeight="1">
      <c r="A1037" s="534" t="inlineStr">
        <is>
          <t>H4 evidence caption</t>
        </is>
      </c>
      <c r="B1037" s="558" t="inlineStr">
        <is>
          <t>[Replace with 1-2 sentences: name H4 Applied Downside Check, identify the fixed-reference shortfall numerator and numeric-trial denominator, and state what the in-class method demonstrates without selecting a take-home option.]</t>
        </is>
      </c>
      <c r="C1037" s="559" t="n"/>
      <c r="D1037" s="559" t="n"/>
      <c r="E1037" s="559" t="n"/>
      <c r="F1037" s="559" t="n"/>
      <c r="G1037" s="559" t="n"/>
      <c r="H1037" s="560" t="n"/>
      <c r="I1037" s="531" t="str">
        <v>B1037: Slides 61. Concise Toolkit pp. 19-25
After-class AI question: Explain Reproducible Stochastic Profit Simulation. Use a different example, then ask me one check question.</v>
      </c>
    </row>
    <row r="1038" ht="42.0" customHeight="1">
      <c r="A1038" s="533" t="n"/>
      <c r="B1038" s="563" t="n"/>
      <c r="C1038" s="564" t="n"/>
      <c r="D1038" s="564" t="n"/>
      <c r="E1038" s="564" t="n"/>
      <c r="F1038" s="564" t="n"/>
      <c r="G1038" s="564" t="n"/>
      <c r="H1038" s="565" t="n"/>
      <c r="I1038" s="531"/>
    </row>
    <row r="1039">
      <c r="A1039" s="533" t="n"/>
      <c r="B1039" s="533" t="n"/>
      <c r="C1039" s="533" t="n"/>
      <c r="D1039" s="533" t="n"/>
      <c r="E1039" s="533" t="n"/>
      <c r="F1039" s="533" t="n"/>
      <c r="G1039" s="533" t="n"/>
      <c r="H1039" s="533" t="n"/>
    </row>
    <row r="1040">
      <c r="A1040" s="533" t="n"/>
      <c r="B1040" s="533" t="n"/>
      <c r="C1040" s="533" t="n"/>
      <c r="D1040" s="533" t="n"/>
      <c r="E1040" s="533" t="n"/>
      <c r="F1040" s="533" t="n"/>
      <c r="G1040" s="533" t="n"/>
      <c r="H1040" s="533" t="n"/>
    </row>
    <row r="1041">
      <c r="A1041" s="533" t="inlineStr">
        <is>
          <t>Check your work</t>
        </is>
      </c>
      <c r="B1041" s="533" t="inlineStr">
        <is>
          <t>Status</t>
        </is>
      </c>
      <c r="C1041" s="533" t="n"/>
      <c r="D1041" s="533" t="n"/>
      <c r="E1041" s="533" t="n"/>
      <c r="F1041" s="533" t="n"/>
      <c r="G1041" s="533" t="n"/>
      <c r="H1041" s="533" t="n"/>
    </row>
    <row r="1042">
      <c r="A1042" s="533" t="inlineStr">
        <is>
          <t>Deterministic profit</t>
        </is>
      </c>
      <c r="B1042" s="533">
        <f>IFERROR(IF('IN-CLASS_Lab Part C'!B14="","Not started",IF(ABS('IN-CLASS_Lab Part C'!B14-(60000))&lt;=1e-09,"✓ Checked","Recheck method")),"Recheck formula")</f>
        <v/>
      </c>
      <c r="C1042" s="533" t="n"/>
      <c r="D1042" s="533" t="n"/>
      <c r="E1042" s="533" t="n"/>
      <c r="F1042" s="533" t="n"/>
      <c r="G1042" s="533" t="n"/>
      <c r="H1042" s="533" t="n"/>
    </row>
    <row r="1043">
      <c r="A1043" s="533" t="inlineStr">
        <is>
          <t>Mean profit</t>
        </is>
      </c>
      <c r="B1043" s="533">
        <f>IFERROR(IF('IN-CLASS_Lab Part C'!B16="","Not started",IF(ABS('IN-CLASS_Lab Part C'!B16-(51319.7511149516))&lt;=102.639502229903,"✓ Checked","Recheck method")),"Recheck formula")</f>
        <v/>
      </c>
      <c r="C1043" s="533" t="n"/>
      <c r="D1043" s="533" t="n"/>
      <c r="E1043" s="533" t="n"/>
      <c r="F1043" s="533" t="n"/>
      <c r="G1043" s="533" t="n"/>
      <c r="H1043" s="533" t="n"/>
    </row>
    <row r="1044">
      <c r="A1044" s="533" t="inlineStr">
        <is>
          <t>Standard deviation profit</t>
        </is>
      </c>
      <c r="B1044" s="533">
        <f>IFERROR(IF('IN-CLASS_Lab Part C'!B17="","Not started",IF(ABS('IN-CLASS_Lab Part C'!B17-(12701.3953419276))&lt;=25.4027906838553,"✓ Checked","Recheck method")),"Recheck formula")</f>
        <v/>
      </c>
      <c r="C1044" s="533" t="n"/>
      <c r="D1044" s="533" t="n"/>
      <c r="E1044" s="533" t="n"/>
      <c r="F1044" s="533" t="n"/>
      <c r="G1044" s="533" t="n"/>
      <c r="H1044" s="533" t="n"/>
    </row>
    <row r="1045">
      <c r="A1045" s="533" t="inlineStr">
        <is>
          <t>P05 profit</t>
        </is>
      </c>
      <c r="B1045" s="533">
        <f>IFERROR(IF('IN-CLASS_Lab Part C'!B18="","Not started",IF(ABS('IN-CLASS_Lab Part C'!B18-(25884.1055019807))&lt;=51.7682110039614,"✓ Checked","Recheck method")),"Recheck formula")</f>
        <v/>
      </c>
      <c r="C1045" s="533" t="n"/>
      <c r="D1045" s="533" t="n"/>
      <c r="E1045" s="533" t="n"/>
      <c r="F1045" s="533" t="n"/>
      <c r="G1045" s="533" t="n"/>
      <c r="H1045" s="533" t="n"/>
    </row>
    <row r="1046">
      <c r="A1046" s="533" t="inlineStr">
        <is>
          <t>Flaw gap</t>
        </is>
      </c>
      <c r="B1046" s="533">
        <f>IFERROR(IF('IN-CLASS_Lab Part C'!B19="","Not started",IF(ABS('IN-CLASS_Lab Part C'!B19-(8680.24888504843))&lt;=17.3604977700969,"✓ Checked","Recheck method")),"Recheck formula")</f>
        <v/>
      </c>
      <c r="C1046" s="533" t="n"/>
      <c r="D1046" s="533" t="n"/>
      <c r="E1046" s="533" t="n"/>
      <c r="F1046" s="533" t="n"/>
      <c r="G1046" s="533" t="n"/>
      <c r="H1046" s="533" t="n"/>
    </row>
    <row r="1047">
      <c r="A1047" s="533" t="inlineStr">
        <is>
          <t>Trial count</t>
        </is>
      </c>
      <c r="B1047" s="533">
        <f>IFERROR(IF('IN-CLASS_Lab Part C'!B20="","Not started",IF(ABS('IN-CLASS_Lab Part C'!B20-(1000))&lt;=1e-09,"✓ Checked","Recheck method")),"Recheck formula")</f>
        <v/>
      </c>
      <c r="C1047" s="533" t="n"/>
      <c r="D1047" s="533" t="n"/>
      <c r="E1047" s="533" t="n"/>
      <c r="F1047" s="533" t="n"/>
      <c r="G1047" s="533" t="n"/>
      <c r="H1047" s="533" t="n"/>
    </row>
    <row r="1048">
      <c r="A1048" s="533" t="inlineStr">
        <is>
          <t>First demand</t>
        </is>
      </c>
      <c r="B1048" s="533">
        <f>IFERROR(IF('IN-CLASS_Lab Part C'!B32="","Not started",IF(ABS('IN-CLASS_Lab Part C'!B32-(653.820722423058))&lt;=1.30764144484612,"✓ Checked","Recheck method")),"Recheck formula")</f>
        <v/>
      </c>
      <c r="C1048" s="533" t="n"/>
      <c r="D1048" s="533" t="n"/>
      <c r="E1048" s="533" t="n"/>
      <c r="F1048" s="533" t="n"/>
      <c r="G1048" s="533" t="n"/>
      <c r="H1048" s="533" t="n"/>
    </row>
    <row r="1049">
      <c r="A1049" s="533" t="inlineStr">
        <is>
          <t>First profit</t>
        </is>
      </c>
      <c r="B1049" s="533">
        <f>IFERROR(IF('IN-CLASS_Lab Part C'!C32="","Not started",IF(ABS('IN-CLASS_Lab Part C'!C32-(30574.76140596))&lt;=61.1495228119199,"✓ Checked","Recheck method")),"Recheck formula")</f>
        <v/>
      </c>
      <c r="C1049" s="533" t="n"/>
      <c r="D1049" s="533" t="n"/>
      <c r="E1049" s="533" t="n"/>
      <c r="F1049" s="533" t="n"/>
      <c r="G1049" s="533" t="n"/>
      <c r="H1049" s="533" t="n"/>
    </row>
    <row r="1050">
      <c r="A1050" s="533" t="n"/>
      <c r="B1050" s="533" t="n"/>
      <c r="C1050" s="533" t="n"/>
      <c r="D1050" s="533" t="n"/>
      <c r="E1050" s="533" t="n"/>
      <c r="F1050" s="533" t="n"/>
      <c r="G1050" s="533" t="n"/>
      <c r="H1050" s="533" t="n"/>
    </row>
    <row r="1051" ht="30" customHeight="1">
      <c r="A1051" s="533" t="inlineStr">
        <is>
          <t>Formatting is already set. Enter your formula, then press Enter. To restore: select cell &gt; Format Cells &gt; Number or Custom.</t>
        </is>
      </c>
      <c r="B1051" s="533" t="n"/>
      <c r="C1051" s="533" t="n"/>
      <c r="D1051" s="533" t="n"/>
      <c r="E1051" s="533" t="n"/>
      <c r="F1051" s="533" t="n"/>
      <c r="G1051" s="533" t="n"/>
      <c r="H1051" s="533" t="n"/>
    </row>
    <row r="1052" ht="32" customHeight="1">
      <c r="A1052" s="533" t="inlineStr">
        <is>
          <t>B7</t>
        </is>
      </c>
      <c r="B1052" s="533" t="inlineStr">
        <is>
          <t>Number, 0 decimals, units; unrelated example only: a stored value of 7.26 displays as 7 units. | Format code: 0</t>
        </is>
      </c>
      <c r="C1052" s="533" t="n"/>
      <c r="D1052" s="533" t="n"/>
      <c r="E1052" s="533" t="n"/>
      <c r="F1052" s="533" t="n"/>
      <c r="G1052" s="533" t="n"/>
      <c r="H1052" s="533" t="n"/>
    </row>
    <row r="1053" ht="32" customHeight="1">
      <c r="A1053" s="533" t="inlineStr">
        <is>
          <t>B8</t>
        </is>
      </c>
      <c r="B1053" s="533" t="inlineStr">
        <is>
          <t>Number, 0 decimals, units; unrelated example only: a stored value of 7.26 displays as 7 units. | Format code: 0</t>
        </is>
      </c>
      <c r="C1053" s="533" t="n"/>
      <c r="D1053" s="533" t="n"/>
      <c r="E1053" s="533" t="n"/>
      <c r="F1053" s="533" t="n"/>
      <c r="G1053" s="533" t="n"/>
      <c r="H1053" s="533" t="n"/>
    </row>
    <row r="1054" ht="32" customHeight="1">
      <c r="A1054" s="533" t="inlineStr">
        <is>
          <t>B9</t>
        </is>
      </c>
      <c r="B1054" s="533" t="inlineStr">
        <is>
          <t>Number, 0 decimals, units; unrelated example only: a stored value of 7.26 displays as 7 units. | Format code: 0</t>
        </is>
      </c>
      <c r="C1054" s="533" t="n"/>
      <c r="D1054" s="533" t="n"/>
      <c r="E1054" s="533" t="n"/>
      <c r="F1054" s="533" t="n"/>
      <c r="G1054" s="533" t="n"/>
      <c r="H1054" s="533" t="n"/>
    </row>
    <row r="1055" ht="32" customHeight="1">
      <c r="A1055" s="533" t="inlineStr">
        <is>
          <t>B10</t>
        </is>
      </c>
      <c r="B1055" s="533" t="inlineStr">
        <is>
          <t>Currency, 0 decimals, dollars per unit; unrelated example only: a stored value of 7.26 displays as 7 dollars. | Format code: $#,##0</t>
        </is>
      </c>
      <c r="C1055" s="533" t="n"/>
      <c r="D1055" s="533" t="n"/>
      <c r="E1055" s="533" t="n"/>
      <c r="F1055" s="533" t="n"/>
      <c r="G1055" s="533" t="n"/>
      <c r="H1055" s="533" t="n"/>
    </row>
    <row r="1056" ht="32" customHeight="1">
      <c r="A1056" s="533" t="inlineStr">
        <is>
          <t>B11</t>
        </is>
      </c>
      <c r="B1056" s="533" t="inlineStr">
        <is>
          <t>Currency, 0 decimals, dollars per surplus unit; unrelated example only: a stored value of 7.26 displays as 7 dollars. | Format code: $#,##0</t>
        </is>
      </c>
      <c r="C1056" s="533" t="n"/>
      <c r="D1056" s="533" t="n"/>
      <c r="E1056" s="533" t="n"/>
      <c r="F1056" s="533" t="n"/>
      <c r="G1056" s="533" t="n"/>
      <c r="H1056" s="533" t="n"/>
    </row>
    <row r="1057" ht="32" customHeight="1">
      <c r="A1057" s="533" t="inlineStr">
        <is>
          <t>B12</t>
        </is>
      </c>
      <c r="B1057" s="533" t="inlineStr">
        <is>
          <t>Currency, 0 decimals, dollars per capacity unit; unrelated example only: a stored value of 7.26 displays as 7 dollars. | Format code: $#,##0</t>
        </is>
      </c>
      <c r="C1057" s="533" t="n"/>
      <c r="D1057" s="533" t="n"/>
      <c r="E1057" s="533" t="n"/>
      <c r="F1057" s="533" t="n"/>
      <c r="G1057" s="533" t="n"/>
      <c r="H1057" s="533" t="n"/>
    </row>
    <row r="1058" ht="32" customHeight="1">
      <c r="A1058" s="533" t="inlineStr">
        <is>
          <t>B14</t>
        </is>
      </c>
      <c r="B1058" s="533" t="inlineStr">
        <is>
          <t>Currency, 0 decimals, dollars; unrelated example only: a stored value of 7260.4 displays as 7260 dollars. | Format code: $#,##0</t>
        </is>
      </c>
      <c r="C1058" s="533" t="n"/>
      <c r="D1058" s="533" t="n"/>
      <c r="E1058" s="533" t="n"/>
      <c r="F1058" s="533" t="n"/>
      <c r="G1058" s="533" t="n"/>
      <c r="H1058" s="533" t="n"/>
    </row>
    <row r="1059" ht="32" customHeight="1">
      <c r="A1059" s="533" t="inlineStr">
        <is>
          <t>B16</t>
        </is>
      </c>
      <c r="B1059" s="533" t="inlineStr">
        <is>
          <t>Currency, 0 decimals, dollars; unrelated example only: a stored value of 7260.4 displays as 7260 dollars. | Format code: $#,##0</t>
        </is>
      </c>
      <c r="C1059" s="533" t="n"/>
      <c r="D1059" s="533" t="n"/>
      <c r="E1059" s="533" t="n"/>
      <c r="F1059" s="533" t="n"/>
      <c r="G1059" s="533" t="n"/>
      <c r="H1059" s="533" t="n"/>
    </row>
    <row r="1060" ht="32" customHeight="1">
      <c r="A1060" s="533" t="inlineStr">
        <is>
          <t>B17</t>
        </is>
      </c>
      <c r="B1060" s="533" t="inlineStr">
        <is>
          <t>Currency, 0 decimals, dollars; unrelated example only: a stored value of 7260.4 displays as 7260 dollars. | Format code: $#,##0</t>
        </is>
      </c>
      <c r="C1060" s="533" t="n"/>
      <c r="D1060" s="533" t="n"/>
      <c r="E1060" s="533" t="n"/>
      <c r="F1060" s="533" t="n"/>
      <c r="G1060" s="533" t="n"/>
      <c r="H1060" s="533" t="n"/>
    </row>
    <row r="1061" ht="32" customHeight="1">
      <c r="A1061" s="533" t="inlineStr">
        <is>
          <t>B18</t>
        </is>
      </c>
      <c r="B1061" s="533" t="inlineStr">
        <is>
          <t>Currency, 0 decimals, dollars; unrelated example only: a stored value of 7260.4 displays as 7260 dollars. | Format code: $#,##0</t>
        </is>
      </c>
      <c r="C1061" s="533" t="n"/>
      <c r="D1061" s="533" t="n"/>
      <c r="E1061" s="533" t="n"/>
      <c r="F1061" s="533" t="n"/>
      <c r="G1061" s="533" t="n"/>
      <c r="H1061" s="533" t="n"/>
    </row>
    <row r="1062" ht="32" customHeight="1">
      <c r="A1062" s="533" t="inlineStr">
        <is>
          <t>B19</t>
        </is>
      </c>
      <c r="B1062" s="533" t="inlineStr">
        <is>
          <t>Currency, 0 decimals, dollars; unrelated example only: a stored value of 7260.4 displays as 7260 dollars. | Format code: $#,##0</t>
        </is>
      </c>
      <c r="C1062" s="533" t="n"/>
      <c r="D1062" s="533" t="n"/>
      <c r="E1062" s="533" t="n"/>
      <c r="F1062" s="533" t="n"/>
      <c r="G1062" s="533" t="n"/>
      <c r="H1062" s="533" t="n"/>
    </row>
    <row r="1063" ht="32" customHeight="1">
      <c r="A1063" s="533" t="inlineStr">
        <is>
          <t>B20</t>
        </is>
      </c>
      <c r="B1063" s="533" t="inlineStr">
        <is>
          <t>Number, 0 decimals, trials; unrelated example only: a stored count of 7 displays as 7 trials. | Format code: 0</t>
        </is>
      </c>
      <c r="C1063" s="533" t="n"/>
      <c r="D1063" s="533" t="n"/>
      <c r="E1063" s="533" t="n"/>
      <c r="F1063" s="533" t="n"/>
      <c r="G1063" s="533" t="n"/>
      <c r="H1063" s="533" t="n"/>
    </row>
    <row r="1064" ht="32" customHeight="1">
      <c r="A1064" s="533" t="inlineStr">
        <is>
          <t>A32</t>
        </is>
      </c>
      <c r="B1064" s="533" t="inlineStr">
        <is>
          <t>Number, 0 decimals, trial index; unrelated example only: a stored index of 7 displays as 7. | Format code: 0</t>
        </is>
      </c>
      <c r="C1064" s="533" t="n"/>
      <c r="D1064" s="533" t="n"/>
      <c r="E1064" s="533" t="n"/>
      <c r="F1064" s="533" t="n"/>
      <c r="G1064" s="533" t="n"/>
      <c r="H1064" s="533" t="n"/>
    </row>
    <row r="1065" ht="32" customHeight="1">
      <c r="A1065" s="533" t="inlineStr">
        <is>
          <t>B32</t>
        </is>
      </c>
      <c r="B1065" s="533" t="inlineStr">
        <is>
          <t>Number, 0 decimals, demand units; unrelated example only: a stored value of 7.26 displays as 7 units. | Format code: 0</t>
        </is>
      </c>
      <c r="C1065" s="533" t="n"/>
      <c r="D1065" s="533" t="n"/>
      <c r="E1065" s="533" t="n"/>
      <c r="F1065" s="533" t="n"/>
      <c r="G1065" s="533" t="n"/>
      <c r="H1065" s="533" t="n"/>
    </row>
    <row r="1066" ht="32" customHeight="1">
      <c r="A1066" s="533" t="inlineStr">
        <is>
          <t>C32</t>
        </is>
      </c>
      <c r="B1066" s="533" t="inlineStr">
        <is>
          <t>Currency, 0 decimals, dollars; unrelated example only: a stored value of 7260.4 displays as 7260 dollars. | Format code: $#,##0</t>
        </is>
      </c>
      <c r="C1066" s="533" t="n"/>
      <c r="D1066" s="533" t="n"/>
      <c r="E1066" s="533" t="n"/>
      <c r="F1066" s="533" t="n"/>
      <c r="G1066" s="533" t="n"/>
      <c r="H1066" s="533" t="n"/>
    </row>
    <row r="1068" ht="36" customHeight="1">
      <c r="A1068" t="inlineStr" s="584">
        <is>
          <t xml:space="preserve">⚠ Most common mistake: Reporting $60,000 as expected profit. That is profit at average demand. Because sales are capped at capacity and surplus sells at salvage, the average of the 1,000 profits is lower.</t>
        </is>
      </c>
    </row>
  </sheetData>
  <mergeCells count="46">
    <mergeCell ref="B1055:H1055"/>
    <mergeCell ref="B27:H28"/>
    <mergeCell ref="B1056:H1056"/>
    <mergeCell ref="F32:H32"/>
    <mergeCell ref="E16:H16"/>
    <mergeCell ref="C14:D14"/>
    <mergeCell ref="B1065:H1065"/>
    <mergeCell ref="A1:H1"/>
    <mergeCell ref="C20:D20"/>
    <mergeCell ref="B1058:H1058"/>
    <mergeCell ref="E18:H18"/>
    <mergeCell ref="C16:D16"/>
    <mergeCell ref="B1052:H1052"/>
    <mergeCell ref="A1051:H1051"/>
    <mergeCell ref="B1061:H1061"/>
    <mergeCell ref="B1066:H1066"/>
    <mergeCell ref="D32:E32"/>
    <mergeCell ref="B1033:H1035"/>
    <mergeCell ref="B1063:H1063"/>
    <mergeCell ref="B1054:H1054"/>
    <mergeCell ref="E14:H14"/>
    <mergeCell ref="B22:H22"/>
    <mergeCell ref="B1057:H1057"/>
    <mergeCell ref="A3:H3"/>
    <mergeCell ref="E17:H17"/>
    <mergeCell ref="B1053:H1053"/>
    <mergeCell ref="B1062:H1062"/>
    <mergeCell ref="A2:H2"/>
    <mergeCell ref="E20:H20"/>
    <mergeCell ref="B1059:H1059"/>
    <mergeCell ref="A5:H5"/>
    <mergeCell ref="E19:H19"/>
    <mergeCell ref="B1037:H1038"/>
    <mergeCell ref="C17:D17"/>
    <mergeCell ref="B1060:H1060"/>
    <mergeCell ref="A4:H4"/>
    <mergeCell ref="B23:H25"/>
    <mergeCell ref="B1064:H1064"/>
    <mergeCell ref="C19:D19"/>
    <mergeCell ref="C18:D18"/>
    <mergeCell ref="I5:I6"/>
    <mergeCell ref="I23:I25"/>
    <mergeCell ref="I27:I28"/>
    <mergeCell ref="I1033:I1035"/>
    <mergeCell ref="I1037:I1038"/>
    <mergeCell ref="A1068:H1068"/>
  </mergeCells>
  <dataValidations count="1">
    <dataValidation sqref="B22" showDropDown="0" showInputMessage="1" showErrorMessage="1" allowBlank="1" errorTitle="Choose one option" error="Use the dropdown, then explain your reason in the adjacent response area." promptTitle="Choose, then explain" prompt="Pick the best statement for your evidence. Nothing is preselected." type="list">
      <formula1>=LabChoices_3</formula1>
    </dataValidation>
  </dataValidations>
  <printOptions horizontalCentered="1"/>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267D89"/>
    <outlinePr summaryBelow="1" summaryRight="1"/>
    <pageSetUpPr fitToPage="1"/>
  </sheetPr>
  <dimension ref="A1:H1081"/>
  <sheetViews>
    <sheetView showGridLines="0" zoomScale="90" workbookViewId="0">
      <pane ySplit="6" topLeftCell="A7"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min="9" max="9" width="58" customWidth="1"/>
  </cols>
  <sheetData>
    <row r="1" ht="30" customHeight="1">
      <c r="A1" s="577" t="inlineStr">
        <is>
          <t xml:space="preserve">Take-home · Option A or Option B for three years?    ⏱ 45 min · at home</t>
        </is>
      </c>
      <c r="B1" s="533" t="n"/>
      <c r="C1" s="533" t="n"/>
      <c r="D1" s="533" t="n"/>
      <c r="E1" s="533" t="n"/>
      <c r="F1" s="533" t="n"/>
      <c r="G1" s="533" t="n"/>
      <c r="H1" s="533" t="n"/>
      <c r="I1" s="515"/>
    </row>
    <row r="2" ht="34" customHeight="1">
      <c r="A2" s="578" t="inlineStr">
        <is>
          <t xml:space="preserve">What you're using · Section 4: The take-home reuses the Part C method on a three-year capital decision, using the three-layer model from the session: assumptions, then a one-trial engine, then 1,000 trials.   Reread: Slides 66–76; Concise Toolkit pp. 26–32; Full Toolkit pp. 64–83</t>
        </is>
      </c>
      <c r="B2" s="533" t="n"/>
      <c r="C2" s="533" t="n"/>
      <c r="D2" s="533" t="n"/>
      <c r="E2" s="533" t="n"/>
      <c r="F2" s="533" t="n"/>
      <c r="G2" s="533" t="n"/>
      <c r="H2" s="533" t="n"/>
      <c r="I2" s="515"/>
    </row>
    <row r="3" ht="30" customHeight="1">
      <c r="A3" s="579" t="inlineStr">
        <is>
          <t xml:space="preserve">zₖ = Φ⁻¹(uₖ) CFⱼ,ₖ = μⱼ + σⱼ zₖ      where j = option (A or B) · Iⱼ = initial investment · μⱼ, σⱼ = mean and SD of annual cash flow · r = 0.08</t>
        </is>
      </c>
      <c r="B3" s="533" t="n"/>
      <c r="C3" s="533" t="n"/>
      <c r="D3" s="533" t="n"/>
      <c r="E3" s="533" t="n"/>
      <c r="F3" s="533" t="n"/>
      <c r="G3" s="533" t="n"/>
      <c r="H3" s="533" t="n"/>
      <c r="I3" s="515"/>
    </row>
    <row r="4" ht="22" customHeight="1">
      <c r="A4" s="580" t="str">
        <f>"Progress: "&amp;COUNTIF(B1041:B1055,"✓ Checked")&amp;" of 15 checked. Save after each ✓."</f>
      </c>
      <c r="B4" s="533" t="n"/>
      <c r="C4" s="533" t="n"/>
      <c r="D4" s="533" t="n"/>
      <c r="E4" s="533" t="n"/>
      <c r="F4" s="533" t="n"/>
      <c r="G4" s="533" t="n"/>
      <c r="H4" s="533" t="n"/>
      <c r="I4" s="515"/>
    </row>
    <row r="5" ht="30" customHeight="1">
      <c r="A5" s="581" t="inlineStr">
        <is>
          <t xml:space="preserve">Open POST-CLASS_Part 1!A7.  Save the same LAB02_FirstName_LastName_NetID.xlsx workbook.</t>
        </is>
      </c>
      <c r="B5" s="533" t="n"/>
      <c r="C5" s="533" t="n"/>
      <c r="D5" s="533" t="n"/>
      <c r="E5" s="533" t="n"/>
      <c r="F5" s="533" t="n"/>
      <c r="G5" s="533" t="n"/>
      <c r="H5" s="533" t="n"/>
      <c r="I5" s="516" t="str">
        <v>Study help (optional)
Read the pages, then use the AI question if useful.</v>
      </c>
    </row>
    <row r="6">
      <c r="A6" s="533" t="n"/>
      <c r="B6" s="533" t="n"/>
      <c r="C6" s="533" t="n"/>
      <c r="D6" s="533" t="n"/>
      <c r="E6" s="533" t="n"/>
      <c r="F6" s="533" t="n"/>
      <c r="G6" s="533" t="n"/>
      <c r="H6" s="533" t="n"/>
      <c r="I6" s="516"/>
    </row>
    <row r="7" ht="24" customHeight="1">
      <c r="A7" s="534" t="inlineStr">
        <is>
          <t>Discount rate</t>
        </is>
      </c>
      <c r="B7" s="573" t="n">
        <v>0.08</v>
      </c>
      <c r="C7" s="533" t="n"/>
      <c r="D7" s="533" t="n"/>
      <c r="E7" s="533" t="n"/>
      <c r="F7" s="533" t="n"/>
      <c r="G7" s="533" t="n"/>
      <c r="H7" s="533" t="n"/>
      <c r="I7" s="515"/>
    </row>
    <row r="8" ht="30" customHeight="1">
      <c r="A8" s="534" t="inlineStr">
        <is>
          <t>Investment horizon</t>
        </is>
      </c>
      <c r="B8" s="568" t="n">
        <v>3</v>
      </c>
      <c r="C8" s="533" t="n"/>
      <c r="D8" s="533" t="n"/>
      <c r="E8" s="533" t="n"/>
      <c r="F8" s="533" t="n"/>
      <c r="G8" s="533" t="n"/>
      <c r="H8" s="533" t="n"/>
      <c r="I8" s="515"/>
    </row>
    <row r="9" ht="24" customHeight="1">
      <c r="A9" s="534" t="inlineStr">
        <is>
          <t>Assumption</t>
        </is>
      </c>
      <c r="B9" s="534" t="inlineStr">
        <is>
          <t>Option A</t>
        </is>
      </c>
      <c r="C9" s="534" t="inlineStr">
        <is>
          <t>Option B</t>
        </is>
      </c>
      <c r="D9" s="533" t="n"/>
      <c r="E9" s="533" t="n"/>
      <c r="F9" s="533" t="n"/>
      <c r="G9" s="533" t="n"/>
      <c r="H9" s="533" t="n"/>
      <c r="I9" s="515"/>
    </row>
    <row r="10" ht="30" customHeight="1">
      <c r="A10" s="534" t="inlineStr">
        <is>
          <t>Initial investment</t>
        </is>
      </c>
      <c r="B10" s="569" t="n">
        <v>1000000</v>
      </c>
      <c r="C10" s="569" t="n">
        <v>900000</v>
      </c>
      <c r="D10" s="533" t="n"/>
      <c r="E10" s="533" t="n"/>
      <c r="F10" s="533" t="n"/>
      <c r="G10" s="533" t="n"/>
      <c r="H10" s="533" t="n"/>
      <c r="I10" s="515"/>
    </row>
    <row r="11" ht="30" customHeight="1">
      <c r="A11" s="534" t="inlineStr">
        <is>
          <t>Mean annual cash flow</t>
        </is>
      </c>
      <c r="B11" s="569" t="n">
        <v>551000</v>
      </c>
      <c r="C11" s="569" t="n">
        <v>498600</v>
      </c>
      <c r="D11" s="533" t="n"/>
      <c r="E11" s="533" t="n"/>
      <c r="F11" s="533" t="n"/>
      <c r="G11" s="533" t="n"/>
      <c r="H11" s="533" t="n"/>
      <c r="I11" s="515"/>
    </row>
    <row r="12" ht="30" customHeight="1">
      <c r="A12" s="534" t="inlineStr">
        <is>
          <t>Annual cash-flow standard deviation</t>
        </is>
      </c>
      <c r="B12" s="569" t="n">
        <v>187300</v>
      </c>
      <c r="C12" s="569" t="n">
        <v>100200</v>
      </c>
      <c r="D12" s="533" t="n"/>
      <c r="E12" s="533" t="n"/>
      <c r="F12" s="533" t="n"/>
      <c r="G12" s="533" t="n"/>
      <c r="H12" s="533" t="n"/>
      <c r="I12" s="515"/>
    </row>
    <row r="13">
      <c r="A13" s="533" t="n"/>
      <c r="B13" s="533" t="n"/>
      <c r="C13" s="533" t="n"/>
      <c r="D13" s="533" t="n"/>
      <c r="E13" s="533" t="n"/>
      <c r="F13" s="533" t="n"/>
      <c r="G13" s="533" t="n"/>
      <c r="H13" s="533" t="n"/>
      <c r="I13" s="515"/>
    </row>
    <row r="14">
      <c r="A14" s="533" t="n"/>
      <c r="B14" s="533" t="n"/>
      <c r="C14" s="533" t="n"/>
      <c r="D14" s="533" t="n"/>
      <c r="E14" s="533" t="n"/>
      <c r="F14" s="533" t="n"/>
      <c r="G14" s="533" t="n"/>
      <c r="H14" s="533" t="n"/>
      <c r="I14" s="515"/>
    </row>
    <row r="15">
      <c r="A15" s="533" t="n"/>
      <c r="B15" s="533" t="n"/>
      <c r="C15" s="533" t="n"/>
      <c r="D15" s="533" t="n"/>
      <c r="E15" s="533" t="n"/>
      <c r="F15" s="533" t="n"/>
      <c r="G15" s="533" t="n"/>
      <c r="H15" s="533" t="n"/>
      <c r="I15" s="515"/>
    </row>
    <row r="16">
      <c r="A16" s="533" t="n"/>
      <c r="B16" s="533" t="n"/>
      <c r="C16" s="533" t="n"/>
      <c r="D16" s="533" t="n"/>
      <c r="E16" s="533" t="n"/>
      <c r="F16" s="533" t="n"/>
      <c r="G16" s="533" t="n"/>
      <c r="H16" s="533" t="n"/>
      <c r="I16" s="515"/>
    </row>
    <row r="17" ht="90.0" customHeight="1">
      <c r="A17" s="534" t="inlineStr">
        <is>
          <t xml:space="preserve">5 · Mean NPV</t>
        </is>
      </c>
      <c r="B17" s="572" t="n"/>
      <c r="C17" s="572" t="n"/>
      <c r="D17" s="536">
        <f>IFERROR(IF(OR(ISBLANK(B17),ISBLANK(C17)),"Not started",IF(AND(ABS(B17-(418599.339132431))&lt;=837.198678264862,ABS(C17-(384201.709447328))&lt;=768.403418894655),"Result matches","Check the result")),"Formula error")</f>
        <v/>
      </c>
      <c r="E17" s="537" t="n"/>
      <c r="F17" s="538" t="inlineStr">
        <is>
          <t>Mean NPV. Use the completed Parts and the stated units. Do not average annual cash flow instead of completed NPV.</t>
        </is>
      </c>
      <c r="G17" s="537" t="n"/>
      <c r="H17" s="537" t="n"/>
      <c r="I17" s="530" t="str">
        <v>B17:C17: Section study support: Slides 67, 72. Concise Toolkit pp. 26-32
After-class AI question: Explain Downside Risk and Shortfall Probability. Use a different example, then ask me one check question.</v>
      </c>
    </row>
    <row r="18" ht="90.0" customHeight="1">
      <c r="A18" s="534" t="inlineStr">
        <is>
          <t xml:space="preserve">6 · Sample NPV standard deviation</t>
        </is>
      </c>
      <c r="B18" s="572" t="n"/>
      <c r="C18" s="572" t="n"/>
      <c r="D18" s="536">
        <f>IFERROR(IF(OR(ISBLANK(B18),ISBLANK(C18)),"Not started",IF(AND(ABS(B18-(494991.913928358))&lt;=989.983827856716,ABS(C18-(264806.138684578))&lt;=529.612277369156),"Result matches","Check the result")),"Formula error")</f>
        <v/>
      </c>
      <c r="E18" s="537" t="n"/>
      <c r="F18" s="538" t="inlineStr">
        <is>
          <t>Sample NPV standard deviation. Use the completed Parts and the stated units. Do not use standard deviation alone as the loss measure.</t>
        </is>
      </c>
      <c r="G18" s="537" t="n"/>
      <c r="H18" s="537" t="n"/>
      <c r="I18" s="530" t="str">
        <v>B18:C18: Section study support: Slides 67, 72. Concise Toolkit pp. 26-32
After-class AI question: Explain Downside Risk and Shortfall Probability. Use a different example, then ask me one check question.</v>
      </c>
    </row>
    <row r="19" ht="90.0" customHeight="1">
      <c r="A19" s="534" t="inlineStr">
        <is>
          <t xml:space="preserve">7 · 5th-percentile NPV</t>
        </is>
      </c>
      <c r="B19" s="572" t="n"/>
      <c r="C19" s="572" t="n"/>
      <c r="D19" s="536">
        <f>IFERROR(IF(OR(ISBLANK(B19),ISBLANK(C19)),"Not started",IF(AND(ABS(B19-(-354956.509684554))&lt;=709.913019369109,ABS(C19-(-29627.9544686465))&lt;=59.2559089372931),"Result matches","Check the result")),"Formula error")</f>
        <v/>
      </c>
      <c r="E19" s="537" t="n"/>
      <c r="F19" s="538" t="inlineStr">
        <is>
          <t>5th-percentile NPV. Use the completed Parts and the stated units. Do not apply Percentage format to NPV.</t>
        </is>
      </c>
      <c r="G19" s="537" t="n"/>
      <c r="H19" s="537" t="n"/>
      <c r="I19" s="530" t="str">
        <v>B19:C19: Section study support: Slides 67, 72. Concise Toolkit pp. 26-32
After-class AI question: Explain Downside Risk and Shortfall Probability. Use a different example, then ask me one check question.</v>
      </c>
    </row>
    <row r="20" ht="90.0" customHeight="1">
      <c r="A20" s="534" t="inlineStr">
        <is>
          <t xml:space="preserve">8 · Loss probability</t>
        </is>
      </c>
      <c r="B20" s="554" t="n"/>
      <c r="C20" s="554" t="n"/>
      <c r="D20" s="536">
        <f>IFERROR(IF(OR(ISBLANK(B20),ISBLANK(C20)),"Not started",IF(AND(ABS(B20-(0.193))&lt;=0.0015,ABS(C20-(0.073))&lt;=0.0015),"Result matches","Check the result")),"Formula error")</f>
        <v/>
      </c>
      <c r="E20" s="537" t="n"/>
      <c r="F20" s="538" t="inlineStr">
        <is>
          <t>Loss probability. Use the completed Parts and the stated units. Do not include blanks in the denominator or multiply the fraction by 100.</t>
        </is>
      </c>
      <c r="G20" s="537" t="n"/>
      <c r="H20" s="537" t="n"/>
      <c r="I20" s="530" t="str">
        <v>B20:C20: Section study support: Slides 67, 72. Concise Toolkit pp. 26-32
After-class AI question: Explain Downside Risk and Shortfall Probability. Use a different example, then ask me one check question.</v>
      </c>
    </row>
    <row r="21" ht="90.0" customHeight="1">
      <c r="A21" s="534" t="inlineStr">
        <is>
          <t xml:space="preserve">9 · Numeric NPV trials</t>
        </is>
      </c>
      <c r="B21" s="553" t="n"/>
      <c r="C21" s="553" t="n"/>
      <c r="D21" s="536">
        <f>IFERROR(IF(OR(ISBLANK(B21),ISBLANK(C21)),"Not started",IF(AND(ABS(B21-(1000))&lt;=1e-09,ABS(C21-(1000))&lt;=1e-09),"Result matches","Check the result")),"Formula error")</f>
        <v/>
      </c>
      <c r="E21" s="537" t="n"/>
      <c r="F21" s="538" t="inlineStr">
        <is>
          <t>Numeric NPV trials. Use the completed Parts and the stated units. Do not assume a filled-looking cell is numeric.</t>
        </is>
      </c>
      <c r="G21" s="537" t="n"/>
      <c r="H21" s="537" t="n"/>
      <c r="I21" s="530" t="str">
        <v>B21:C21: Section study support: Slides 67, 72. Concise Toolkit pp. 26-32
After-class AI question: Explain Downside Risk and Shortfall Probability. Use a different example, then ask me one check question.</v>
      </c>
    </row>
    <row r="22" ht="90.0" customHeight="1">
      <c r="A22" s="534" t="inlineStr">
        <is>
          <t xml:space="preserve">10 · Absolute mean-NPV gap</t>
        </is>
      </c>
      <c r="B22" s="572" t="n"/>
      <c r="C22" s="536">
        <f>IFERROR(IF(OR(ISBLANK(B22)),"Not started",IF(AND(ABS(B22-(34397.6296851034))&lt;=68.7952593702067),"Result matches","Check the result")),"Formula error")</f>
        <v/>
      </c>
      <c r="D22" s="537" t="n"/>
      <c r="E22" s="538" t="inlineStr">
        <is>
          <t>Absolute mean-NPV gap. Use the completed Parts and the stated units. Use B17 and C17 to identify which option has the larger mean.</t>
        </is>
      </c>
      <c r="F22" s="537" t="n"/>
      <c r="G22" s="537" t="n"/>
      <c r="H22" s="537" t="n"/>
      <c r="I22" s="530" t="str">
        <v>B22: Section study support: Slides 67, 72. Concise Toolkit pp. 26-32
After-class AI question: Explain Downside Risk and Shortfall Probability. Use a different example, then ask me one check question.</v>
      </c>
    </row>
    <row r="23" ht="90.0" customHeight="1">
      <c r="A23" s="534" t="inlineStr">
        <is>
          <t xml:space="preserve">11 · Loss-probability gap</t>
        </is>
      </c>
      <c r="B23" s="554" t="n"/>
      <c r="C23" s="536">
        <f>IFERROR(IF(OR(ISBLANK(B23)),"Not started",IF(AND(ABS(B23-(0.12))&lt;=0.0015),"Result matches","Check the result")),"Formula error")</f>
        <v/>
      </c>
      <c r="D23" s="537" t="n"/>
      <c r="E23" s="538" t="inlineStr">
        <is>
          <t>Loss-probability gap. Use the completed Parts and the stated units. Do not divide the difference by one option unless relative change is requested.</t>
        </is>
      </c>
      <c r="F23" s="537" t="n"/>
      <c r="G23" s="537" t="n"/>
      <c r="H23" s="537" t="n"/>
      <c r="I23" s="530" t="str">
        <v>B23: Section study support: Slides 67, 72. Concise Toolkit pp. 26-32
After-class AI question: Explain Downside Risk and Shortfall Probability. Use a different example, then ask me one check question.</v>
      </c>
    </row>
    <row r="24">
      <c r="A24" s="533" t="n"/>
      <c r="B24" s="533" t="n"/>
      <c r="C24" s="533" t="n"/>
      <c r="D24" s="533" t="n"/>
      <c r="E24" s="533" t="n"/>
      <c r="F24" s="533" t="n"/>
      <c r="G24" s="533" t="n"/>
      <c r="H24" s="533" t="n"/>
      <c r="I24" s="515"/>
    </row>
    <row r="25" ht="30" customHeight="1">
      <c r="A25" s="534" t="inlineStr">
        <is>
          <t>Executive recommendation</t>
        </is>
      </c>
      <c r="B25" s="558" t="inlineStr">
        <is>
          <t>[Replace with 1-2 short paragraphs: recommend an option, cite mean NPV and loss probability with denominators, state one limitation, and name a reversal condition.]</t>
        </is>
      </c>
      <c r="C25" s="559" t="n"/>
      <c r="D25" s="559" t="n"/>
      <c r="E25" s="559" t="n"/>
      <c r="F25" s="559" t="n"/>
      <c r="G25" s="559" t="n"/>
      <c r="H25" s="560" t="n"/>
      <c r="I25" s="530" t="str">
        <v>B25: Slides 81. Concise Toolkit pp. 26-32
After-class AI question: Explain Multi-Year Capital Investment Risk and Sensitivity. Use a different example, then ask me one check question.</v>
      </c>
    </row>
    <row r="26" ht="30" customHeight="1">
      <c r="A26" s="533" t="n"/>
      <c r="B26" s="561" t="n"/>
      <c r="C26" s="548" t="n"/>
      <c r="D26" s="548" t="n"/>
      <c r="E26" s="548" t="n"/>
      <c r="F26" s="548" t="n"/>
      <c r="G26" s="548" t="n"/>
      <c r="H26" s="562" t="n"/>
      <c r="I26" s="530"/>
    </row>
    <row r="27" ht="30" customHeight="1">
      <c r="A27" s="533" t="n"/>
      <c r="B27" s="561" t="n"/>
      <c r="C27" s="548" t="n"/>
      <c r="D27" s="548" t="n"/>
      <c r="E27" s="548" t="n"/>
      <c r="F27" s="548" t="n"/>
      <c r="G27" s="548" t="n"/>
      <c r="H27" s="562" t="n"/>
      <c r="I27" s="530"/>
    </row>
    <row r="28" ht="30" customHeight="1">
      <c r="A28" s="533" t="n"/>
      <c r="B28" s="563" t="n"/>
      <c r="C28" s="564" t="n"/>
      <c r="D28" s="564" t="n"/>
      <c r="E28" s="564" t="n"/>
      <c r="F28" s="564" t="n"/>
      <c r="G28" s="564" t="n"/>
      <c r="H28" s="565" t="n"/>
      <c r="I28" s="530"/>
    </row>
    <row r="29">
      <c r="A29" s="533" t="n"/>
      <c r="B29" s="533" t="n"/>
      <c r="C29" s="533" t="n"/>
      <c r="D29" s="533" t="n"/>
      <c r="E29" s="533" t="n"/>
      <c r="F29" s="533" t="n"/>
      <c r="G29" s="533" t="n"/>
      <c r="H29" s="533" t="n"/>
      <c r="I29" s="515"/>
    </row>
    <row r="30" ht="30" customHeight="1">
      <c r="A30" s="534" t="inlineStr">
        <is>
          <t>Memo evidence map</t>
        </is>
      </c>
      <c r="B30" s="558" t="inlineStr">
        <is>
          <t>[Replace with one line per claim: identify the screening or capital claim, then point to the exact workbook cells or named SPSS output supporting it.]</t>
        </is>
      </c>
      <c r="C30" s="559" t="n"/>
      <c r="D30" s="559" t="n"/>
      <c r="E30" s="559" t="n"/>
      <c r="F30" s="559" t="n"/>
      <c r="G30" s="559" t="n"/>
      <c r="H30" s="560" t="n"/>
      <c r="I30" s="530" t="str">
        <v>B30: Slides 81. Concise Toolkit pp. 26-32
After-class AI question: Explain Multi-Year Capital Investment Risk and Sensitivity. Use a different example, then ask me one check question.</v>
      </c>
    </row>
    <row r="31" ht="30" customHeight="1">
      <c r="A31" s="533" t="n"/>
      <c r="B31" s="561" t="n"/>
      <c r="C31" s="548" t="n"/>
      <c r="D31" s="548" t="n"/>
      <c r="E31" s="548" t="n"/>
      <c r="F31" s="548" t="n"/>
      <c r="G31" s="548" t="n"/>
      <c r="H31" s="562" t="n"/>
      <c r="I31" s="530"/>
    </row>
    <row r="32" ht="30" customHeight="1">
      <c r="A32" s="533" t="n"/>
      <c r="B32" s="563" t="n"/>
      <c r="C32" s="564" t="n"/>
      <c r="D32" s="564" t="n"/>
      <c r="E32" s="564" t="n"/>
      <c r="F32" s="564" t="n"/>
      <c r="G32" s="564" t="n"/>
      <c r="H32" s="565" t="n"/>
      <c r="I32" s="530"/>
    </row>
    <row r="33">
      <c r="A33" s="533" t="n"/>
      <c r="B33" s="533" t="n"/>
      <c r="C33" s="533" t="n"/>
      <c r="D33" s="533" t="n"/>
      <c r="E33" s="533" t="n"/>
      <c r="F33" s="533" t="n"/>
      <c r="G33" s="533" t="n"/>
      <c r="H33" s="533" t="n"/>
      <c r="I33" s="515"/>
    </row>
    <row r="34" ht="42.0" customHeight="1">
      <c r="A34" s="534" t="inlineStr">
        <is>
          <t>AI disclosure</t>
        </is>
      </c>
      <c r="B34" s="558" t="inlineStr">
        <is>
          <t>[Replace with either No AI used, or identify the tool, task, retained output, changes, tests or source checks, and remaining limitations.]</t>
        </is>
      </c>
      <c r="C34" s="559" t="n"/>
      <c r="D34" s="559" t="n"/>
      <c r="E34" s="559" t="n"/>
      <c r="F34" s="559" t="n"/>
      <c r="G34" s="559" t="n"/>
      <c r="H34" s="560" t="n"/>
      <c r="I34" s="530" t="str">
        <v>B34: Slides 81. Concise Toolkit pp. 26-32
After-class AI question: Explain Multi-Year Capital Investment Risk and Sensitivity. Use a different example, then ask me one check question.</v>
      </c>
    </row>
    <row r="35" ht="42.0" customHeight="1">
      <c r="A35" s="533" t="n"/>
      <c r="B35" s="563" t="n"/>
      <c r="C35" s="564" t="n"/>
      <c r="D35" s="564" t="n"/>
      <c r="E35" s="564" t="n"/>
      <c r="F35" s="564" t="n"/>
      <c r="G35" s="564" t="n"/>
      <c r="H35" s="565" t="n"/>
      <c r="I35" s="530"/>
    </row>
    <row r="36">
      <c r="A36" s="533" t="n"/>
      <c r="B36" s="533" t="n"/>
      <c r="C36" s="533" t="n"/>
      <c r="D36" s="533" t="n"/>
      <c r="E36" s="533" t="n"/>
      <c r="F36" s="533" t="n"/>
      <c r="G36" s="533" t="n"/>
      <c r="H36" s="533" t="n"/>
      <c r="I36" s="515"/>
    </row>
    <row r="37">
      <c r="A37" s="533" t="n"/>
      <c r="B37" s="533" t="n"/>
      <c r="C37" s="533" t="n"/>
      <c r="D37" s="533" t="n"/>
      <c r="E37" s="533" t="n"/>
      <c r="F37" s="533" t="n"/>
      <c r="G37" s="533" t="n"/>
      <c r="H37" s="533" t="n"/>
      <c r="I37" s="515"/>
    </row>
    <row r="38" ht="90.0" customHeight="1">
      <c r="A38" s="553" t="n"/>
      <c r="B38" s="533" t="n"/>
      <c r="C38" s="533" t="n"/>
      <c r="D38" s="576" t="n"/>
      <c r="E38" s="572" t="n"/>
      <c r="F38" s="572" t="n"/>
      <c r="G38" s="536">
        <f>IFERROR(IF(OR(ISBLANK(D38),ISBLANK(E38),ISBLANK(F38)),"Not started",IF(AND(ABS(D38-(-1.38471711030777))&lt;=0.00276943422061553,ABS(E38-(-248409.029936173))&lt;=496.818059872347,ABS(F38-(27371.8184666859))&lt;=54.7436369333719),"Result matches","Check the result")),"Formula error")</f>
        <v/>
      </c>
      <c r="H38" s="537" t="n"/>
      <c r="I38" s="530" t="str">
        <v>A38:F38: Slides 78. Concise Toolkit pp. 26-32
After-class AI question: Explain Multi-Year Capital Investment Risk and Sensitivity. Use a different example, then ask me one check question.</v>
      </c>
    </row>
    <row r="39" ht="24" customHeight="1">
      <c r="A39" s="539" t="n"/>
      <c r="B39" s="533" t="n"/>
      <c r="C39" s="533" t="n"/>
      <c r="D39" s="575" t="n"/>
      <c r="E39" s="571" t="n"/>
      <c r="F39" s="571" t="n"/>
      <c r="G39" s="533" t="n"/>
      <c r="H39" s="533" t="n"/>
      <c r="I39" s="515"/>
    </row>
    <row r="40" ht="24" customHeight="1">
      <c r="A40" s="539" t="n"/>
      <c r="B40" s="533" t="n"/>
      <c r="C40" s="533" t="n"/>
      <c r="D40" s="575" t="n"/>
      <c r="E40" s="571" t="n"/>
      <c r="F40" s="571" t="n"/>
      <c r="G40" s="533" t="n"/>
      <c r="H40" s="533" t="n"/>
      <c r="I40" s="515"/>
    </row>
    <row r="41" ht="24" customHeight="1">
      <c r="A41" s="539" t="n"/>
      <c r="B41" s="533" t="n"/>
      <c r="C41" s="533" t="n"/>
      <c r="D41" s="575" t="n"/>
      <c r="E41" s="571" t="n"/>
      <c r="F41" s="571" t="n"/>
      <c r="G41" s="533" t="n"/>
      <c r="H41" s="533" t="n"/>
    </row>
    <row r="42" ht="24" customHeight="1">
      <c r="A42" s="539" t="n"/>
      <c r="B42" s="533" t="n"/>
      <c r="C42" s="533" t="n"/>
      <c r="D42" s="575" t="n"/>
      <c r="E42" s="571" t="n"/>
      <c r="F42" s="571" t="n"/>
      <c r="G42" s="533" t="n"/>
      <c r="H42" s="533" t="n"/>
    </row>
    <row r="43" ht="24" customHeight="1">
      <c r="A43" s="539" t="n"/>
      <c r="B43" s="533" t="n"/>
      <c r="C43" s="533" t="n"/>
      <c r="D43" s="575" t="n"/>
      <c r="E43" s="571" t="n"/>
      <c r="F43" s="571" t="n"/>
      <c r="G43" s="533" t="n"/>
      <c r="H43" s="533" t="n"/>
    </row>
    <row r="44" ht="24" customHeight="1">
      <c r="A44" s="539" t="n"/>
      <c r="B44" s="533" t="n"/>
      <c r="C44" s="533" t="n"/>
      <c r="D44" s="575" t="n"/>
      <c r="E44" s="571" t="n"/>
      <c r="F44" s="571" t="n"/>
      <c r="G44" s="533" t="n"/>
      <c r="H44" s="533" t="n"/>
    </row>
    <row r="45" ht="24" customHeight="1">
      <c r="A45" s="539" t="n"/>
      <c r="B45" s="533" t="n"/>
      <c r="C45" s="533" t="n"/>
      <c r="D45" s="575" t="n"/>
      <c r="E45" s="571" t="n"/>
      <c r="F45" s="571" t="n"/>
      <c r="G45" s="533" t="n"/>
      <c r="H45" s="533" t="n"/>
    </row>
    <row r="46" ht="24" customHeight="1">
      <c r="A46" s="539" t="n"/>
      <c r="B46" s="533" t="n"/>
      <c r="C46" s="533" t="n"/>
      <c r="D46" s="575" t="n"/>
      <c r="E46" s="571" t="n"/>
      <c r="F46" s="571" t="n"/>
      <c r="G46" s="533" t="n"/>
      <c r="H46" s="533" t="n"/>
    </row>
    <row r="47" ht="24" customHeight="1">
      <c r="A47" s="539" t="n"/>
      <c r="B47" s="533" t="n"/>
      <c r="C47" s="533" t="n"/>
      <c r="D47" s="575" t="n"/>
      <c r="E47" s="571" t="n"/>
      <c r="F47" s="571" t="n"/>
      <c r="G47" s="533" t="n"/>
      <c r="H47" s="533" t="n"/>
    </row>
    <row r="48" ht="24" customHeight="1">
      <c r="A48" s="539" t="n"/>
      <c r="B48" s="533" t="n"/>
      <c r="C48" s="533" t="n"/>
      <c r="D48" s="575" t="n"/>
      <c r="E48" s="571" t="n"/>
      <c r="F48" s="571" t="n"/>
      <c r="G48" s="533" t="n"/>
      <c r="H48" s="533" t="n"/>
    </row>
    <row r="49" ht="24" customHeight="1">
      <c r="A49" s="539" t="n"/>
      <c r="B49" s="533" t="n"/>
      <c r="C49" s="533" t="n"/>
      <c r="D49" s="575" t="n"/>
      <c r="E49" s="571" t="n"/>
      <c r="F49" s="571" t="n"/>
      <c r="G49" s="533" t="n"/>
      <c r="H49" s="533" t="n"/>
    </row>
    <row r="50" ht="24" customHeight="1">
      <c r="A50" s="539" t="n"/>
      <c r="B50" s="533" t="n"/>
      <c r="C50" s="533" t="n"/>
      <c r="D50" s="575" t="n"/>
      <c r="E50" s="571" t="n"/>
      <c r="F50" s="571" t="n"/>
      <c r="G50" s="533" t="n"/>
      <c r="H50" s="533" t="n"/>
    </row>
    <row r="51" ht="24" customHeight="1">
      <c r="A51" s="539" t="n"/>
      <c r="B51" s="533" t="n"/>
      <c r="C51" s="533" t="n"/>
      <c r="D51" s="575" t="n"/>
      <c r="E51" s="571" t="n"/>
      <c r="F51" s="571" t="n"/>
      <c r="G51" s="533" t="n"/>
      <c r="H51" s="533" t="n"/>
    </row>
    <row r="52" ht="24" customHeight="1">
      <c r="A52" s="539" t="n"/>
      <c r="B52" s="533" t="n"/>
      <c r="C52" s="533" t="n"/>
      <c r="D52" s="575" t="n"/>
      <c r="E52" s="571" t="n"/>
      <c r="F52" s="571" t="n"/>
      <c r="G52" s="533" t="n"/>
      <c r="H52" s="533" t="n"/>
    </row>
    <row r="53" ht="24" customHeight="1">
      <c r="A53" s="539" t="n"/>
      <c r="B53" s="533" t="n"/>
      <c r="C53" s="533" t="n"/>
      <c r="D53" s="575" t="n"/>
      <c r="E53" s="571" t="n"/>
      <c r="F53" s="571" t="n"/>
      <c r="G53" s="533" t="n"/>
      <c r="H53" s="533" t="n"/>
    </row>
    <row r="54" ht="24" customHeight="1">
      <c r="A54" s="539" t="n"/>
      <c r="B54" s="533" t="n"/>
      <c r="C54" s="533" t="n"/>
      <c r="D54" s="575" t="n"/>
      <c r="E54" s="571" t="n"/>
      <c r="F54" s="571" t="n"/>
      <c r="G54" s="533" t="n"/>
      <c r="H54" s="533" t="n"/>
    </row>
    <row r="55" ht="24" customHeight="1">
      <c r="A55" s="539" t="n"/>
      <c r="B55" s="533" t="n"/>
      <c r="C55" s="533" t="n"/>
      <c r="D55" s="575" t="n"/>
      <c r="E55" s="571" t="n"/>
      <c r="F55" s="571" t="n"/>
      <c r="G55" s="533" t="n"/>
      <c r="H55" s="533" t="n"/>
    </row>
    <row r="56" ht="24" customHeight="1">
      <c r="A56" s="539" t="n"/>
      <c r="B56" s="533" t="n"/>
      <c r="C56" s="533" t="n"/>
      <c r="D56" s="575" t="n"/>
      <c r="E56" s="571" t="n"/>
      <c r="F56" s="571" t="n"/>
      <c r="G56" s="533" t="n"/>
      <c r="H56" s="533" t="n"/>
    </row>
    <row r="57" ht="24" customHeight="1">
      <c r="A57" s="539" t="n"/>
      <c r="B57" s="533" t="n"/>
      <c r="C57" s="533" t="n"/>
      <c r="D57" s="575" t="n"/>
      <c r="E57" s="571" t="n"/>
      <c r="F57" s="571" t="n"/>
      <c r="G57" s="533" t="n"/>
      <c r="H57" s="533" t="n"/>
    </row>
    <row r="58" ht="24" customHeight="1">
      <c r="A58" s="539" t="n"/>
      <c r="B58" s="533" t="n"/>
      <c r="C58" s="533" t="n"/>
      <c r="D58" s="575" t="n"/>
      <c r="E58" s="571" t="n"/>
      <c r="F58" s="571" t="n"/>
      <c r="G58" s="533" t="n"/>
      <c r="H58" s="533" t="n"/>
    </row>
    <row r="59" ht="24" customHeight="1">
      <c r="A59" s="539" t="n"/>
      <c r="B59" s="533" t="n"/>
      <c r="C59" s="533" t="n"/>
      <c r="D59" s="575" t="n"/>
      <c r="E59" s="571" t="n"/>
      <c r="F59" s="571" t="n"/>
      <c r="G59" s="533" t="n"/>
      <c r="H59" s="533" t="n"/>
    </row>
    <row r="60" ht="24" customHeight="1">
      <c r="A60" s="539" t="n"/>
      <c r="B60" s="533" t="n"/>
      <c r="C60" s="533" t="n"/>
      <c r="D60" s="575" t="n"/>
      <c r="E60" s="571" t="n"/>
      <c r="F60" s="571" t="n"/>
      <c r="G60" s="533" t="n"/>
      <c r="H60" s="533" t="n"/>
    </row>
    <row r="61" ht="24" customHeight="1">
      <c r="A61" s="539" t="n"/>
      <c r="B61" s="533" t="n"/>
      <c r="C61" s="533" t="n"/>
      <c r="D61" s="575" t="n"/>
      <c r="E61" s="571" t="n"/>
      <c r="F61" s="571" t="n"/>
      <c r="G61" s="533" t="n"/>
      <c r="H61" s="533" t="n"/>
    </row>
    <row r="62" ht="24" customHeight="1">
      <c r="A62" s="539" t="n"/>
      <c r="B62" s="533" t="n"/>
      <c r="C62" s="533" t="n"/>
      <c r="D62" s="575" t="n"/>
      <c r="E62" s="571" t="n"/>
      <c r="F62" s="571" t="n"/>
      <c r="G62" s="533" t="n"/>
      <c r="H62" s="533" t="n"/>
    </row>
    <row r="63" ht="24" customHeight="1">
      <c r="A63" s="539" t="n"/>
      <c r="B63" s="533" t="n"/>
      <c r="C63" s="533" t="n"/>
      <c r="D63" s="575" t="n"/>
      <c r="E63" s="571" t="n"/>
      <c r="F63" s="571" t="n"/>
      <c r="G63" s="533" t="n"/>
      <c r="H63" s="533" t="n"/>
    </row>
    <row r="64" ht="24" customHeight="1">
      <c r="A64" s="539" t="n"/>
      <c r="B64" s="533" t="n"/>
      <c r="C64" s="533" t="n"/>
      <c r="D64" s="575" t="n"/>
      <c r="E64" s="571" t="n"/>
      <c r="F64" s="571" t="n"/>
      <c r="G64" s="533" t="n"/>
      <c r="H64" s="533" t="n"/>
    </row>
    <row r="65" ht="24" customHeight="1">
      <c r="A65" s="539" t="n"/>
      <c r="B65" s="533" t="n"/>
      <c r="C65" s="533" t="n"/>
      <c r="D65" s="575" t="n"/>
      <c r="E65" s="571" t="n"/>
      <c r="F65" s="571" t="n"/>
      <c r="G65" s="533" t="n"/>
      <c r="H65" s="533" t="n"/>
    </row>
    <row r="66" ht="24" customHeight="1">
      <c r="A66" s="539" t="n"/>
      <c r="B66" s="533" t="n"/>
      <c r="C66" s="533" t="n"/>
      <c r="D66" s="575" t="n"/>
      <c r="E66" s="571" t="n"/>
      <c r="F66" s="571" t="n"/>
      <c r="G66" s="533" t="n"/>
      <c r="H66" s="533" t="n"/>
    </row>
    <row r="67" ht="24" customHeight="1">
      <c r="A67" s="539" t="n"/>
      <c r="B67" s="533" t="n"/>
      <c r="C67" s="533" t="n"/>
      <c r="D67" s="575" t="n"/>
      <c r="E67" s="571" t="n"/>
      <c r="F67" s="571" t="n"/>
      <c r="G67" s="533" t="n"/>
      <c r="H67" s="533" t="n"/>
    </row>
    <row r="68" ht="24" customHeight="1">
      <c r="A68" s="539" t="n"/>
      <c r="B68" s="533" t="n"/>
      <c r="C68" s="533" t="n"/>
      <c r="D68" s="575" t="n"/>
      <c r="E68" s="571" t="n"/>
      <c r="F68" s="571" t="n"/>
      <c r="G68" s="533" t="n"/>
      <c r="H68" s="533" t="n"/>
    </row>
    <row r="69" ht="24" customHeight="1">
      <c r="A69" s="539" t="n"/>
      <c r="B69" s="533" t="n"/>
      <c r="C69" s="533" t="n"/>
      <c r="D69" s="575" t="n"/>
      <c r="E69" s="571" t="n"/>
      <c r="F69" s="571" t="n"/>
      <c r="G69" s="533" t="n"/>
      <c r="H69" s="533" t="n"/>
    </row>
    <row r="70" ht="24" customHeight="1">
      <c r="A70" s="539" t="n"/>
      <c r="B70" s="533" t="n"/>
      <c r="C70" s="533" t="n"/>
      <c r="D70" s="575" t="n"/>
      <c r="E70" s="571" t="n"/>
      <c r="F70" s="571" t="n"/>
      <c r="G70" s="533" t="n"/>
      <c r="H70" s="533" t="n"/>
    </row>
    <row r="71" ht="24" customHeight="1">
      <c r="A71" s="539" t="n"/>
      <c r="B71" s="533" t="n"/>
      <c r="C71" s="533" t="n"/>
      <c r="D71" s="575" t="n"/>
      <c r="E71" s="571" t="n"/>
      <c r="F71" s="571" t="n"/>
      <c r="G71" s="533" t="n"/>
      <c r="H71" s="533" t="n"/>
    </row>
    <row r="72" ht="24" customHeight="1">
      <c r="A72" s="539" t="n"/>
      <c r="B72" s="533" t="n"/>
      <c r="C72" s="533" t="n"/>
      <c r="D72" s="575" t="n"/>
      <c r="E72" s="571" t="n"/>
      <c r="F72" s="571" t="n"/>
      <c r="G72" s="533" t="n"/>
      <c r="H72" s="533" t="n"/>
    </row>
    <row r="73" ht="24" customHeight="1">
      <c r="A73" s="539" t="n"/>
      <c r="B73" s="533" t="n"/>
      <c r="C73" s="533" t="n"/>
      <c r="D73" s="575" t="n"/>
      <c r="E73" s="571" t="n"/>
      <c r="F73" s="571" t="n"/>
      <c r="G73" s="533" t="n"/>
      <c r="H73" s="533" t="n"/>
    </row>
    <row r="74" ht="24" customHeight="1">
      <c r="A74" s="539" t="n"/>
      <c r="B74" s="533" t="n"/>
      <c r="C74" s="533" t="n"/>
      <c r="D74" s="575" t="n"/>
      <c r="E74" s="571" t="n"/>
      <c r="F74" s="571" t="n"/>
      <c r="G74" s="533" t="n"/>
      <c r="H74" s="533" t="n"/>
    </row>
    <row r="75" ht="24" customHeight="1">
      <c r="A75" s="539" t="n"/>
      <c r="B75" s="533" t="n"/>
      <c r="C75" s="533" t="n"/>
      <c r="D75" s="575" t="n"/>
      <c r="E75" s="571" t="n"/>
      <c r="F75" s="571" t="n"/>
      <c r="G75" s="533" t="n"/>
      <c r="H75" s="533" t="n"/>
    </row>
    <row r="76" ht="24" customHeight="1">
      <c r="A76" s="539" t="n"/>
      <c r="B76" s="533" t="n"/>
      <c r="C76" s="533" t="n"/>
      <c r="D76" s="575" t="n"/>
      <c r="E76" s="571" t="n"/>
      <c r="F76" s="571" t="n"/>
      <c r="G76" s="533" t="n"/>
      <c r="H76" s="533" t="n"/>
    </row>
    <row r="77" ht="24" customHeight="1">
      <c r="A77" s="539" t="n"/>
      <c r="B77" s="533" t="n"/>
      <c r="C77" s="533" t="n"/>
      <c r="D77" s="575" t="n"/>
      <c r="E77" s="571" t="n"/>
      <c r="F77" s="571" t="n"/>
      <c r="G77" s="533" t="n"/>
      <c r="H77" s="533" t="n"/>
    </row>
    <row r="78" ht="24" customHeight="1">
      <c r="A78" s="539" t="n"/>
      <c r="B78" s="533" t="n"/>
      <c r="C78" s="533" t="n"/>
      <c r="D78" s="575" t="n"/>
      <c r="E78" s="571" t="n"/>
      <c r="F78" s="571" t="n"/>
      <c r="G78" s="533" t="n"/>
      <c r="H78" s="533" t="n"/>
    </row>
    <row r="79" ht="24" customHeight="1">
      <c r="A79" s="539" t="n"/>
      <c r="B79" s="533" t="n"/>
      <c r="C79" s="533" t="n"/>
      <c r="D79" s="575" t="n"/>
      <c r="E79" s="571" t="n"/>
      <c r="F79" s="571" t="n"/>
      <c r="G79" s="533" t="n"/>
      <c r="H79" s="533" t="n"/>
    </row>
    <row r="80" ht="24" customHeight="1">
      <c r="A80" s="539" t="n"/>
      <c r="B80" s="533" t="n"/>
      <c r="C80" s="533" t="n"/>
      <c r="D80" s="575" t="n"/>
      <c r="E80" s="571" t="n"/>
      <c r="F80" s="571" t="n"/>
      <c r="G80" s="533" t="n"/>
      <c r="H80" s="533" t="n"/>
    </row>
    <row r="81" ht="24" customHeight="1">
      <c r="A81" s="539" t="n"/>
      <c r="B81" s="533" t="n"/>
      <c r="C81" s="533" t="n"/>
      <c r="D81" s="575" t="n"/>
      <c r="E81" s="571" t="n"/>
      <c r="F81" s="571" t="n"/>
      <c r="G81" s="533" t="n"/>
      <c r="H81" s="533" t="n"/>
    </row>
    <row r="82" ht="24" customHeight="1">
      <c r="A82" s="539" t="n"/>
      <c r="B82" s="533" t="n"/>
      <c r="C82" s="533" t="n"/>
      <c r="D82" s="575" t="n"/>
      <c r="E82" s="571" t="n"/>
      <c r="F82" s="571" t="n"/>
      <c r="G82" s="533" t="n"/>
      <c r="H82" s="533" t="n"/>
    </row>
    <row r="83" ht="24" customHeight="1">
      <c r="A83" s="539" t="n"/>
      <c r="B83" s="533" t="n"/>
      <c r="C83" s="533" t="n"/>
      <c r="D83" s="575" t="n"/>
      <c r="E83" s="571" t="n"/>
      <c r="F83" s="571" t="n"/>
      <c r="G83" s="533" t="n"/>
      <c r="H83" s="533" t="n"/>
    </row>
    <row r="84" ht="24" customHeight="1">
      <c r="A84" s="539" t="n"/>
      <c r="B84" s="533" t="n"/>
      <c r="C84" s="533" t="n"/>
      <c r="D84" s="575" t="n"/>
      <c r="E84" s="571" t="n"/>
      <c r="F84" s="571" t="n"/>
      <c r="G84" s="533" t="n"/>
      <c r="H84" s="533" t="n"/>
    </row>
    <row r="85" ht="24" customHeight="1">
      <c r="A85" s="539" t="n"/>
      <c r="B85" s="533" t="n"/>
      <c r="C85" s="533" t="n"/>
      <c r="D85" s="575" t="n"/>
      <c r="E85" s="571" t="n"/>
      <c r="F85" s="571" t="n"/>
      <c r="G85" s="533" t="n"/>
      <c r="H85" s="533" t="n"/>
    </row>
    <row r="86" ht="24" customHeight="1">
      <c r="A86" s="539" t="n"/>
      <c r="B86" s="533" t="n"/>
      <c r="C86" s="533" t="n"/>
      <c r="D86" s="575" t="n"/>
      <c r="E86" s="571" t="n"/>
      <c r="F86" s="571" t="n"/>
      <c r="G86" s="533" t="n"/>
      <c r="H86" s="533" t="n"/>
    </row>
    <row r="87" ht="24" customHeight="1">
      <c r="A87" s="539" t="n"/>
      <c r="B87" s="533" t="n"/>
      <c r="C87" s="533" t="n"/>
      <c r="D87" s="575" t="n"/>
      <c r="E87" s="571" t="n"/>
      <c r="F87" s="571" t="n"/>
      <c r="G87" s="533" t="n"/>
      <c r="H87" s="533" t="n"/>
    </row>
    <row r="88" ht="24" customHeight="1">
      <c r="A88" s="539" t="n"/>
      <c r="B88" s="533" t="n"/>
      <c r="C88" s="533" t="n"/>
      <c r="D88" s="575" t="n"/>
      <c r="E88" s="571" t="n"/>
      <c r="F88" s="571" t="n"/>
      <c r="G88" s="533" t="n"/>
      <c r="H88" s="533" t="n"/>
    </row>
    <row r="89" ht="24" customHeight="1">
      <c r="A89" s="539" t="n"/>
      <c r="B89" s="533" t="n"/>
      <c r="C89" s="533" t="n"/>
      <c r="D89" s="575" t="n"/>
      <c r="E89" s="571" t="n"/>
      <c r="F89" s="571" t="n"/>
      <c r="G89" s="533" t="n"/>
      <c r="H89" s="533" t="n"/>
    </row>
    <row r="90" ht="24" customHeight="1">
      <c r="A90" s="539" t="n"/>
      <c r="B90" s="533" t="n"/>
      <c r="C90" s="533" t="n"/>
      <c r="D90" s="575" t="n"/>
      <c r="E90" s="571" t="n"/>
      <c r="F90" s="571" t="n"/>
      <c r="G90" s="533" t="n"/>
      <c r="H90" s="533" t="n"/>
    </row>
    <row r="91" ht="24" customHeight="1">
      <c r="A91" s="539" t="n"/>
      <c r="B91" s="533" t="n"/>
      <c r="C91" s="533" t="n"/>
      <c r="D91" s="575" t="n"/>
      <c r="E91" s="571" t="n"/>
      <c r="F91" s="571" t="n"/>
      <c r="G91" s="533" t="n"/>
      <c r="H91" s="533" t="n"/>
    </row>
    <row r="92" ht="24" customHeight="1">
      <c r="A92" s="539" t="n"/>
      <c r="B92" s="533" t="n"/>
      <c r="C92" s="533" t="n"/>
      <c r="D92" s="575" t="n"/>
      <c r="E92" s="571" t="n"/>
      <c r="F92" s="571" t="n"/>
      <c r="G92" s="533" t="n"/>
      <c r="H92" s="533" t="n"/>
    </row>
    <row r="93" ht="24" customHeight="1">
      <c r="A93" s="539" t="n"/>
      <c r="B93" s="533" t="n"/>
      <c r="C93" s="533" t="n"/>
      <c r="D93" s="575" t="n"/>
      <c r="E93" s="571" t="n"/>
      <c r="F93" s="571" t="n"/>
      <c r="G93" s="533" t="n"/>
      <c r="H93" s="533" t="n"/>
    </row>
    <row r="94" ht="24" customHeight="1">
      <c r="A94" s="539" t="n"/>
      <c r="B94" s="533" t="n"/>
      <c r="C94" s="533" t="n"/>
      <c r="D94" s="575" t="n"/>
      <c r="E94" s="571" t="n"/>
      <c r="F94" s="571" t="n"/>
      <c r="G94" s="533" t="n"/>
      <c r="H94" s="533" t="n"/>
    </row>
    <row r="95" ht="24" customHeight="1">
      <c r="A95" s="539" t="n"/>
      <c r="B95" s="533" t="n"/>
      <c r="C95" s="533" t="n"/>
      <c r="D95" s="575" t="n"/>
      <c r="E95" s="571" t="n"/>
      <c r="F95" s="571" t="n"/>
      <c r="G95" s="533" t="n"/>
      <c r="H95" s="533" t="n"/>
    </row>
    <row r="96" ht="24" customHeight="1">
      <c r="A96" s="539" t="n"/>
      <c r="B96" s="533" t="n"/>
      <c r="C96" s="533" t="n"/>
      <c r="D96" s="575" t="n"/>
      <c r="E96" s="571" t="n"/>
      <c r="F96" s="571" t="n"/>
      <c r="G96" s="533" t="n"/>
      <c r="H96" s="533" t="n"/>
    </row>
    <row r="97" ht="24" customHeight="1">
      <c r="A97" s="539" t="n"/>
      <c r="B97" s="533" t="n"/>
      <c r="C97" s="533" t="n"/>
      <c r="D97" s="575" t="n"/>
      <c r="E97" s="571" t="n"/>
      <c r="F97" s="571" t="n"/>
      <c r="G97" s="533" t="n"/>
      <c r="H97" s="533" t="n"/>
    </row>
    <row r="98" ht="24" customHeight="1">
      <c r="A98" s="539" t="n"/>
      <c r="B98" s="533" t="n"/>
      <c r="C98" s="533" t="n"/>
      <c r="D98" s="575" t="n"/>
      <c r="E98" s="571" t="n"/>
      <c r="F98" s="571" t="n"/>
      <c r="G98" s="533" t="n"/>
      <c r="H98" s="533" t="n"/>
    </row>
    <row r="99" ht="24" customHeight="1">
      <c r="A99" s="539" t="n"/>
      <c r="B99" s="533" t="n"/>
      <c r="C99" s="533" t="n"/>
      <c r="D99" s="575" t="n"/>
      <c r="E99" s="571" t="n"/>
      <c r="F99" s="571" t="n"/>
      <c r="G99" s="533" t="n"/>
      <c r="H99" s="533" t="n"/>
    </row>
    <row r="100" ht="24" customHeight="1">
      <c r="A100" s="539" t="n"/>
      <c r="B100" s="533" t="n"/>
      <c r="C100" s="533" t="n"/>
      <c r="D100" s="575" t="n"/>
      <c r="E100" s="571" t="n"/>
      <c r="F100" s="571" t="n"/>
      <c r="G100" s="533" t="n"/>
      <c r="H100" s="533" t="n"/>
    </row>
    <row r="101" ht="24" customHeight="1">
      <c r="A101" s="539" t="n"/>
      <c r="B101" s="533" t="n"/>
      <c r="C101" s="533" t="n"/>
      <c r="D101" s="575" t="n"/>
      <c r="E101" s="571" t="n"/>
      <c r="F101" s="571" t="n"/>
      <c r="G101" s="533" t="n"/>
      <c r="H101" s="533" t="n"/>
    </row>
    <row r="102" ht="24" customHeight="1">
      <c r="A102" s="539" t="n"/>
      <c r="B102" s="533" t="n"/>
      <c r="C102" s="533" t="n"/>
      <c r="D102" s="575" t="n"/>
      <c r="E102" s="571" t="n"/>
      <c r="F102" s="571" t="n"/>
      <c r="G102" s="533" t="n"/>
      <c r="H102" s="533" t="n"/>
    </row>
    <row r="103" ht="24" customHeight="1">
      <c r="A103" s="539" t="n"/>
      <c r="B103" s="533" t="n"/>
      <c r="C103" s="533" t="n"/>
      <c r="D103" s="575" t="n"/>
      <c r="E103" s="571" t="n"/>
      <c r="F103" s="571" t="n"/>
      <c r="G103" s="533" t="n"/>
      <c r="H103" s="533" t="n"/>
    </row>
    <row r="104" ht="24" customHeight="1">
      <c r="A104" s="539" t="n"/>
      <c r="B104" s="533" t="n"/>
      <c r="C104" s="533" t="n"/>
      <c r="D104" s="575" t="n"/>
      <c r="E104" s="571" t="n"/>
      <c r="F104" s="571" t="n"/>
      <c r="G104" s="533" t="n"/>
      <c r="H104" s="533" t="n"/>
    </row>
    <row r="105" ht="24" customHeight="1">
      <c r="A105" s="539" t="n"/>
      <c r="B105" s="533" t="n"/>
      <c r="C105" s="533" t="n"/>
      <c r="D105" s="575" t="n"/>
      <c r="E105" s="571" t="n"/>
      <c r="F105" s="571" t="n"/>
      <c r="G105" s="533" t="n"/>
      <c r="H105" s="533" t="n"/>
    </row>
    <row r="106" ht="24" customHeight="1">
      <c r="A106" s="539" t="n"/>
      <c r="B106" s="533" t="n"/>
      <c r="C106" s="533" t="n"/>
      <c r="D106" s="575" t="n"/>
      <c r="E106" s="571" t="n"/>
      <c r="F106" s="571" t="n"/>
      <c r="G106" s="533" t="n"/>
      <c r="H106" s="533" t="n"/>
    </row>
    <row r="107" ht="24" customHeight="1">
      <c r="A107" s="539" t="n"/>
      <c r="B107" s="533" t="n"/>
      <c r="C107" s="533" t="n"/>
      <c r="D107" s="575" t="n"/>
      <c r="E107" s="571" t="n"/>
      <c r="F107" s="571" t="n"/>
      <c r="G107" s="533" t="n"/>
      <c r="H107" s="533" t="n"/>
    </row>
    <row r="108" ht="24" customHeight="1">
      <c r="A108" s="539" t="n"/>
      <c r="B108" s="533" t="n"/>
      <c r="C108" s="533" t="n"/>
      <c r="D108" s="575" t="n"/>
      <c r="E108" s="571" t="n"/>
      <c r="F108" s="571" t="n"/>
      <c r="G108" s="533" t="n"/>
      <c r="H108" s="533" t="n"/>
    </row>
    <row r="109" ht="24" customHeight="1">
      <c r="A109" s="539" t="n"/>
      <c r="B109" s="533" t="n"/>
      <c r="C109" s="533" t="n"/>
      <c r="D109" s="575" t="n"/>
      <c r="E109" s="571" t="n"/>
      <c r="F109" s="571" t="n"/>
      <c r="G109" s="533" t="n"/>
      <c r="H109" s="533" t="n"/>
    </row>
    <row r="110" ht="24" customHeight="1">
      <c r="A110" s="539" t="n"/>
      <c r="B110" s="533" t="n"/>
      <c r="C110" s="533" t="n"/>
      <c r="D110" s="575" t="n"/>
      <c r="E110" s="571" t="n"/>
      <c r="F110" s="571" t="n"/>
      <c r="G110" s="533" t="n"/>
      <c r="H110" s="533" t="n"/>
    </row>
    <row r="111" ht="24" customHeight="1">
      <c r="A111" s="539" t="n"/>
      <c r="B111" s="533" t="n"/>
      <c r="C111" s="533" t="n"/>
      <c r="D111" s="575" t="n"/>
      <c r="E111" s="571" t="n"/>
      <c r="F111" s="571" t="n"/>
      <c r="G111" s="533" t="n"/>
      <c r="H111" s="533" t="n"/>
    </row>
    <row r="112" ht="24" customHeight="1">
      <c r="A112" s="539" t="n"/>
      <c r="B112" s="533" t="n"/>
      <c r="C112" s="533" t="n"/>
      <c r="D112" s="575" t="n"/>
      <c r="E112" s="571" t="n"/>
      <c r="F112" s="571" t="n"/>
      <c r="G112" s="533" t="n"/>
      <c r="H112" s="533" t="n"/>
    </row>
    <row r="113" ht="24" customHeight="1">
      <c r="A113" s="539" t="n"/>
      <c r="B113" s="533" t="n"/>
      <c r="C113" s="533" t="n"/>
      <c r="D113" s="575" t="n"/>
      <c r="E113" s="571" t="n"/>
      <c r="F113" s="571" t="n"/>
      <c r="G113" s="533" t="n"/>
      <c r="H113" s="533" t="n"/>
    </row>
    <row r="114" ht="24" customHeight="1">
      <c r="A114" s="539" t="n"/>
      <c r="B114" s="533" t="n"/>
      <c r="C114" s="533" t="n"/>
      <c r="D114" s="575" t="n"/>
      <c r="E114" s="571" t="n"/>
      <c r="F114" s="571" t="n"/>
      <c r="G114" s="533" t="n"/>
      <c r="H114" s="533" t="n"/>
    </row>
    <row r="115" ht="24" customHeight="1">
      <c r="A115" s="539" t="n"/>
      <c r="B115" s="533" t="n"/>
      <c r="C115" s="533" t="n"/>
      <c r="D115" s="575" t="n"/>
      <c r="E115" s="571" t="n"/>
      <c r="F115" s="571" t="n"/>
      <c r="G115" s="533" t="n"/>
      <c r="H115" s="533" t="n"/>
    </row>
    <row r="116" ht="24" customHeight="1">
      <c r="A116" s="539" t="n"/>
      <c r="B116" s="533" t="n"/>
      <c r="C116" s="533" t="n"/>
      <c r="D116" s="575" t="n"/>
      <c r="E116" s="571" t="n"/>
      <c r="F116" s="571" t="n"/>
      <c r="G116" s="533" t="n"/>
      <c r="H116" s="533" t="n"/>
    </row>
    <row r="117" ht="24" customHeight="1">
      <c r="A117" s="539" t="n"/>
      <c r="B117" s="533" t="n"/>
      <c r="C117" s="533" t="n"/>
      <c r="D117" s="575" t="n"/>
      <c r="E117" s="571" t="n"/>
      <c r="F117" s="571" t="n"/>
      <c r="G117" s="533" t="n"/>
      <c r="H117" s="533" t="n"/>
    </row>
    <row r="118" ht="24" customHeight="1">
      <c r="A118" s="539" t="n"/>
      <c r="B118" s="533" t="n"/>
      <c r="C118" s="533" t="n"/>
      <c r="D118" s="575" t="n"/>
      <c r="E118" s="571" t="n"/>
      <c r="F118" s="571" t="n"/>
      <c r="G118" s="533" t="n"/>
      <c r="H118" s="533" t="n"/>
    </row>
    <row r="119" ht="24" customHeight="1">
      <c r="A119" s="539" t="n"/>
      <c r="B119" s="533" t="n"/>
      <c r="C119" s="533" t="n"/>
      <c r="D119" s="575" t="n"/>
      <c r="E119" s="571" t="n"/>
      <c r="F119" s="571" t="n"/>
      <c r="G119" s="533" t="n"/>
      <c r="H119" s="533" t="n"/>
    </row>
    <row r="120" ht="24" customHeight="1">
      <c r="A120" s="539" t="n"/>
      <c r="B120" s="533" t="n"/>
      <c r="C120" s="533" t="n"/>
      <c r="D120" s="575" t="n"/>
      <c r="E120" s="571" t="n"/>
      <c r="F120" s="571" t="n"/>
      <c r="G120" s="533" t="n"/>
      <c r="H120" s="533" t="n"/>
    </row>
    <row r="121" ht="24" customHeight="1">
      <c r="A121" s="539" t="n"/>
      <c r="B121" s="533" t="n"/>
      <c r="C121" s="533" t="n"/>
      <c r="D121" s="575" t="n"/>
      <c r="E121" s="571" t="n"/>
      <c r="F121" s="571" t="n"/>
      <c r="G121" s="533" t="n"/>
      <c r="H121" s="533" t="n"/>
    </row>
    <row r="122" ht="24" customHeight="1">
      <c r="A122" s="539" t="n"/>
      <c r="B122" s="533" t="n"/>
      <c r="C122" s="533" t="n"/>
      <c r="D122" s="575" t="n"/>
      <c r="E122" s="571" t="n"/>
      <c r="F122" s="571" t="n"/>
      <c r="G122" s="533" t="n"/>
      <c r="H122" s="533" t="n"/>
    </row>
    <row r="123" ht="24" customHeight="1">
      <c r="A123" s="539" t="n"/>
      <c r="B123" s="533" t="n"/>
      <c r="C123" s="533" t="n"/>
      <c r="D123" s="575" t="n"/>
      <c r="E123" s="571" t="n"/>
      <c r="F123" s="571" t="n"/>
      <c r="G123" s="533" t="n"/>
      <c r="H123" s="533" t="n"/>
    </row>
    <row r="124" ht="24" customHeight="1">
      <c r="A124" s="539" t="n"/>
      <c r="B124" s="533" t="n"/>
      <c r="C124" s="533" t="n"/>
      <c r="D124" s="575" t="n"/>
      <c r="E124" s="571" t="n"/>
      <c r="F124" s="571" t="n"/>
      <c r="G124" s="533" t="n"/>
      <c r="H124" s="533" t="n"/>
    </row>
    <row r="125" ht="24" customHeight="1">
      <c r="A125" s="539" t="n"/>
      <c r="B125" s="533" t="n"/>
      <c r="C125" s="533" t="n"/>
      <c r="D125" s="575" t="n"/>
      <c r="E125" s="571" t="n"/>
      <c r="F125" s="571" t="n"/>
      <c r="G125" s="533" t="n"/>
      <c r="H125" s="533" t="n"/>
    </row>
    <row r="126" ht="24" customHeight="1">
      <c r="A126" s="539" t="n"/>
      <c r="B126" s="533" t="n"/>
      <c r="C126" s="533" t="n"/>
      <c r="D126" s="575" t="n"/>
      <c r="E126" s="571" t="n"/>
      <c r="F126" s="571" t="n"/>
      <c r="G126" s="533" t="n"/>
      <c r="H126" s="533" t="n"/>
    </row>
    <row r="127" ht="24" customHeight="1">
      <c r="A127" s="539" t="n"/>
      <c r="B127" s="533" t="n"/>
      <c r="C127" s="533" t="n"/>
      <c r="D127" s="575" t="n"/>
      <c r="E127" s="571" t="n"/>
      <c r="F127" s="571" t="n"/>
      <c r="G127" s="533" t="n"/>
      <c r="H127" s="533" t="n"/>
    </row>
    <row r="128" ht="24" customHeight="1">
      <c r="A128" s="539" t="n"/>
      <c r="B128" s="533" t="n"/>
      <c r="C128" s="533" t="n"/>
      <c r="D128" s="575" t="n"/>
      <c r="E128" s="571" t="n"/>
      <c r="F128" s="571" t="n"/>
      <c r="G128" s="533" t="n"/>
      <c r="H128" s="533" t="n"/>
    </row>
    <row r="129" ht="24" customHeight="1">
      <c r="A129" s="539" t="n"/>
      <c r="B129" s="533" t="n"/>
      <c r="C129" s="533" t="n"/>
      <c r="D129" s="575" t="n"/>
      <c r="E129" s="571" t="n"/>
      <c r="F129" s="571" t="n"/>
      <c r="G129" s="533" t="n"/>
      <c r="H129" s="533" t="n"/>
    </row>
    <row r="130" ht="24" customHeight="1">
      <c r="A130" s="539" t="n"/>
      <c r="B130" s="533" t="n"/>
      <c r="C130" s="533" t="n"/>
      <c r="D130" s="575" t="n"/>
      <c r="E130" s="571" t="n"/>
      <c r="F130" s="571" t="n"/>
      <c r="G130" s="533" t="n"/>
      <c r="H130" s="533" t="n"/>
    </row>
    <row r="131" ht="24" customHeight="1">
      <c r="A131" s="539" t="n"/>
      <c r="B131" s="533" t="n"/>
      <c r="C131" s="533" t="n"/>
      <c r="D131" s="575" t="n"/>
      <c r="E131" s="571" t="n"/>
      <c r="F131" s="571" t="n"/>
      <c r="G131" s="533" t="n"/>
      <c r="H131" s="533" t="n"/>
    </row>
    <row r="132" ht="24" customHeight="1">
      <c r="A132" s="539" t="n"/>
      <c r="B132" s="533" t="n"/>
      <c r="C132" s="533" t="n"/>
      <c r="D132" s="575" t="n"/>
      <c r="E132" s="571" t="n"/>
      <c r="F132" s="571" t="n"/>
      <c r="G132" s="533" t="n"/>
      <c r="H132" s="533" t="n"/>
    </row>
    <row r="133" ht="24" customHeight="1">
      <c r="A133" s="539" t="n"/>
      <c r="B133" s="533" t="n"/>
      <c r="C133" s="533" t="n"/>
      <c r="D133" s="575" t="n"/>
      <c r="E133" s="571" t="n"/>
      <c r="F133" s="571" t="n"/>
      <c r="G133" s="533" t="n"/>
      <c r="H133" s="533" t="n"/>
    </row>
    <row r="134" ht="24" customHeight="1">
      <c r="A134" s="539" t="n"/>
      <c r="B134" s="533" t="n"/>
      <c r="C134" s="533" t="n"/>
      <c r="D134" s="575" t="n"/>
      <c r="E134" s="571" t="n"/>
      <c r="F134" s="571" t="n"/>
      <c r="G134" s="533" t="n"/>
      <c r="H134" s="533" t="n"/>
    </row>
    <row r="135" ht="24" customHeight="1">
      <c r="A135" s="539" t="n"/>
      <c r="B135" s="533" t="n"/>
      <c r="C135" s="533" t="n"/>
      <c r="D135" s="575" t="n"/>
      <c r="E135" s="571" t="n"/>
      <c r="F135" s="571" t="n"/>
      <c r="G135" s="533" t="n"/>
      <c r="H135" s="533" t="n"/>
    </row>
    <row r="136" ht="24" customHeight="1">
      <c r="A136" s="539" t="n"/>
      <c r="B136" s="533" t="n"/>
      <c r="C136" s="533" t="n"/>
      <c r="D136" s="575" t="n"/>
      <c r="E136" s="571" t="n"/>
      <c r="F136" s="571" t="n"/>
      <c r="G136" s="533" t="n"/>
      <c r="H136" s="533" t="n"/>
    </row>
    <row r="137" ht="24" customHeight="1">
      <c r="A137" s="539" t="n"/>
      <c r="B137" s="533" t="n"/>
      <c r="C137" s="533" t="n"/>
      <c r="D137" s="575" t="n"/>
      <c r="E137" s="571" t="n"/>
      <c r="F137" s="571" t="n"/>
      <c r="G137" s="533" t="n"/>
      <c r="H137" s="533" t="n"/>
    </row>
    <row r="138" ht="24" customHeight="1">
      <c r="A138" s="539" t="n"/>
      <c r="B138" s="533" t="n"/>
      <c r="C138" s="533" t="n"/>
      <c r="D138" s="575" t="n"/>
      <c r="E138" s="571" t="n"/>
      <c r="F138" s="571" t="n"/>
      <c r="G138" s="533" t="n"/>
      <c r="H138" s="533" t="n"/>
    </row>
    <row r="139" ht="24" customHeight="1">
      <c r="A139" s="539" t="n"/>
      <c r="B139" s="533" t="n"/>
      <c r="C139" s="533" t="n"/>
      <c r="D139" s="575" t="n"/>
      <c r="E139" s="571" t="n"/>
      <c r="F139" s="571" t="n"/>
      <c r="G139" s="533" t="n"/>
      <c r="H139" s="533" t="n"/>
    </row>
    <row r="140" ht="24" customHeight="1">
      <c r="A140" s="539" t="n"/>
      <c r="B140" s="533" t="n"/>
      <c r="C140" s="533" t="n"/>
      <c r="D140" s="575" t="n"/>
      <c r="E140" s="571" t="n"/>
      <c r="F140" s="571" t="n"/>
      <c r="G140" s="533" t="n"/>
      <c r="H140" s="533" t="n"/>
    </row>
    <row r="141" ht="24" customHeight="1">
      <c r="A141" s="539" t="n"/>
      <c r="B141" s="533" t="n"/>
      <c r="C141" s="533" t="n"/>
      <c r="D141" s="575" t="n"/>
      <c r="E141" s="571" t="n"/>
      <c r="F141" s="571" t="n"/>
      <c r="G141" s="533" t="n"/>
      <c r="H141" s="533" t="n"/>
    </row>
    <row r="142" ht="24" customHeight="1">
      <c r="A142" s="539" t="n"/>
      <c r="B142" s="533" t="n"/>
      <c r="C142" s="533" t="n"/>
      <c r="D142" s="575" t="n"/>
      <c r="E142" s="571" t="n"/>
      <c r="F142" s="571" t="n"/>
      <c r="G142" s="533" t="n"/>
      <c r="H142" s="533" t="n"/>
    </row>
    <row r="143" ht="24" customHeight="1">
      <c r="A143" s="539" t="n"/>
      <c r="B143" s="533" t="n"/>
      <c r="C143" s="533" t="n"/>
      <c r="D143" s="575" t="n"/>
      <c r="E143" s="571" t="n"/>
      <c r="F143" s="571" t="n"/>
      <c r="G143" s="533" t="n"/>
      <c r="H143" s="533" t="n"/>
    </row>
    <row r="144" ht="24" customHeight="1">
      <c r="A144" s="539" t="n"/>
      <c r="B144" s="533" t="n"/>
      <c r="C144" s="533" t="n"/>
      <c r="D144" s="575" t="n"/>
      <c r="E144" s="571" t="n"/>
      <c r="F144" s="571" t="n"/>
      <c r="G144" s="533" t="n"/>
      <c r="H144" s="533" t="n"/>
    </row>
    <row r="145" ht="24" customHeight="1">
      <c r="A145" s="539" t="n"/>
      <c r="B145" s="533" t="n"/>
      <c r="C145" s="533" t="n"/>
      <c r="D145" s="575" t="n"/>
      <c r="E145" s="571" t="n"/>
      <c r="F145" s="571" t="n"/>
      <c r="G145" s="533" t="n"/>
      <c r="H145" s="533" t="n"/>
    </row>
    <row r="146" ht="24" customHeight="1">
      <c r="A146" s="539" t="n"/>
      <c r="B146" s="533" t="n"/>
      <c r="C146" s="533" t="n"/>
      <c r="D146" s="575" t="n"/>
      <c r="E146" s="571" t="n"/>
      <c r="F146" s="571" t="n"/>
      <c r="G146" s="533" t="n"/>
      <c r="H146" s="533" t="n"/>
    </row>
    <row r="147" ht="24" customHeight="1">
      <c r="A147" s="539" t="n"/>
      <c r="B147" s="533" t="n"/>
      <c r="C147" s="533" t="n"/>
      <c r="D147" s="575" t="n"/>
      <c r="E147" s="571" t="n"/>
      <c r="F147" s="571" t="n"/>
      <c r="G147" s="533" t="n"/>
      <c r="H147" s="533" t="n"/>
    </row>
    <row r="148" ht="24" customHeight="1">
      <c r="A148" s="539" t="n"/>
      <c r="B148" s="533" t="n"/>
      <c r="C148" s="533" t="n"/>
      <c r="D148" s="575" t="n"/>
      <c r="E148" s="571" t="n"/>
      <c r="F148" s="571" t="n"/>
      <c r="G148" s="533" t="n"/>
      <c r="H148" s="533" t="n"/>
    </row>
    <row r="149" ht="24" customHeight="1">
      <c r="A149" s="539" t="n"/>
      <c r="B149" s="533" t="n"/>
      <c r="C149" s="533" t="n"/>
      <c r="D149" s="575" t="n"/>
      <c r="E149" s="571" t="n"/>
      <c r="F149" s="571" t="n"/>
      <c r="G149" s="533" t="n"/>
      <c r="H149" s="533" t="n"/>
    </row>
    <row r="150" ht="24" customHeight="1">
      <c r="A150" s="539" t="n"/>
      <c r="B150" s="533" t="n"/>
      <c r="C150" s="533" t="n"/>
      <c r="D150" s="575" t="n"/>
      <c r="E150" s="571" t="n"/>
      <c r="F150" s="571" t="n"/>
      <c r="G150" s="533" t="n"/>
      <c r="H150" s="533" t="n"/>
    </row>
    <row r="151" ht="24" customHeight="1">
      <c r="A151" s="539" t="n"/>
      <c r="B151" s="533" t="n"/>
      <c r="C151" s="533" t="n"/>
      <c r="D151" s="575" t="n"/>
      <c r="E151" s="571" t="n"/>
      <c r="F151" s="571" t="n"/>
      <c r="G151" s="533" t="n"/>
      <c r="H151" s="533" t="n"/>
    </row>
    <row r="152" ht="24" customHeight="1">
      <c r="A152" s="539" t="n"/>
      <c r="B152" s="533" t="n"/>
      <c r="C152" s="533" t="n"/>
      <c r="D152" s="575" t="n"/>
      <c r="E152" s="571" t="n"/>
      <c r="F152" s="571" t="n"/>
      <c r="G152" s="533" t="n"/>
      <c r="H152" s="533" t="n"/>
    </row>
    <row r="153" ht="24" customHeight="1">
      <c r="A153" s="539" t="n"/>
      <c r="B153" s="533" t="n"/>
      <c r="C153" s="533" t="n"/>
      <c r="D153" s="575" t="n"/>
      <c r="E153" s="571" t="n"/>
      <c r="F153" s="571" t="n"/>
      <c r="G153" s="533" t="n"/>
      <c r="H153" s="533" t="n"/>
    </row>
    <row r="154" ht="24" customHeight="1">
      <c r="A154" s="539" t="n"/>
      <c r="B154" s="533" t="n"/>
      <c r="C154" s="533" t="n"/>
      <c r="D154" s="575" t="n"/>
      <c r="E154" s="571" t="n"/>
      <c r="F154" s="571" t="n"/>
      <c r="G154" s="533" t="n"/>
      <c r="H154" s="533" t="n"/>
    </row>
    <row r="155" ht="24" customHeight="1">
      <c r="A155" s="539" t="n"/>
      <c r="B155" s="533" t="n"/>
      <c r="C155" s="533" t="n"/>
      <c r="D155" s="575" t="n"/>
      <c r="E155" s="571" t="n"/>
      <c r="F155" s="571" t="n"/>
      <c r="G155" s="533" t="n"/>
      <c r="H155" s="533" t="n"/>
    </row>
    <row r="156" ht="24" customHeight="1">
      <c r="A156" s="539" t="n"/>
      <c r="B156" s="533" t="n"/>
      <c r="C156" s="533" t="n"/>
      <c r="D156" s="575" t="n"/>
      <c r="E156" s="571" t="n"/>
      <c r="F156" s="571" t="n"/>
      <c r="G156" s="533" t="n"/>
      <c r="H156" s="533" t="n"/>
    </row>
    <row r="157" ht="24" customHeight="1">
      <c r="A157" s="539" t="n"/>
      <c r="B157" s="533" t="n"/>
      <c r="C157" s="533" t="n"/>
      <c r="D157" s="575" t="n"/>
      <c r="E157" s="571" t="n"/>
      <c r="F157" s="571" t="n"/>
      <c r="G157" s="533" t="n"/>
      <c r="H157" s="533" t="n"/>
    </row>
    <row r="158" ht="24" customHeight="1">
      <c r="A158" s="539" t="n"/>
      <c r="B158" s="533" t="n"/>
      <c r="C158" s="533" t="n"/>
      <c r="D158" s="575" t="n"/>
      <c r="E158" s="571" t="n"/>
      <c r="F158" s="571" t="n"/>
      <c r="G158" s="533" t="n"/>
      <c r="H158" s="533" t="n"/>
    </row>
    <row r="159" ht="24" customHeight="1">
      <c r="A159" s="539" t="n"/>
      <c r="B159" s="533" t="n"/>
      <c r="C159" s="533" t="n"/>
      <c r="D159" s="575" t="n"/>
      <c r="E159" s="571" t="n"/>
      <c r="F159" s="571" t="n"/>
      <c r="G159" s="533" t="n"/>
      <c r="H159" s="533" t="n"/>
    </row>
    <row r="160" ht="24" customHeight="1">
      <c r="A160" s="539" t="n"/>
      <c r="B160" s="533" t="n"/>
      <c r="C160" s="533" t="n"/>
      <c r="D160" s="575" t="n"/>
      <c r="E160" s="571" t="n"/>
      <c r="F160" s="571" t="n"/>
      <c r="G160" s="533" t="n"/>
      <c r="H160" s="533" t="n"/>
    </row>
    <row r="161" ht="24" customHeight="1">
      <c r="A161" s="539" t="n"/>
      <c r="B161" s="533" t="n"/>
      <c r="C161" s="533" t="n"/>
      <c r="D161" s="575" t="n"/>
      <c r="E161" s="571" t="n"/>
      <c r="F161" s="571" t="n"/>
      <c r="G161" s="533" t="n"/>
      <c r="H161" s="533" t="n"/>
    </row>
    <row r="162" ht="24" customHeight="1">
      <c r="A162" s="539" t="n"/>
      <c r="B162" s="533" t="n"/>
      <c r="C162" s="533" t="n"/>
      <c r="D162" s="575" t="n"/>
      <c r="E162" s="571" t="n"/>
      <c r="F162" s="571" t="n"/>
      <c r="G162" s="533" t="n"/>
      <c r="H162" s="533" t="n"/>
    </row>
    <row r="163" ht="24" customHeight="1">
      <c r="A163" s="539" t="n"/>
      <c r="B163" s="533" t="n"/>
      <c r="C163" s="533" t="n"/>
      <c r="D163" s="575" t="n"/>
      <c r="E163" s="571" t="n"/>
      <c r="F163" s="571" t="n"/>
      <c r="G163" s="533" t="n"/>
      <c r="H163" s="533" t="n"/>
    </row>
    <row r="164" ht="24" customHeight="1">
      <c r="A164" s="539" t="n"/>
      <c r="B164" s="533" t="n"/>
      <c r="C164" s="533" t="n"/>
      <c r="D164" s="575" t="n"/>
      <c r="E164" s="571" t="n"/>
      <c r="F164" s="571" t="n"/>
      <c r="G164" s="533" t="n"/>
      <c r="H164" s="533" t="n"/>
    </row>
    <row r="165" ht="24" customHeight="1">
      <c r="A165" s="539" t="n"/>
      <c r="B165" s="533" t="n"/>
      <c r="C165" s="533" t="n"/>
      <c r="D165" s="575" t="n"/>
      <c r="E165" s="571" t="n"/>
      <c r="F165" s="571" t="n"/>
      <c r="G165" s="533" t="n"/>
      <c r="H165" s="533" t="n"/>
    </row>
    <row r="166" ht="24" customHeight="1">
      <c r="A166" s="539" t="n"/>
      <c r="B166" s="533" t="n"/>
      <c r="C166" s="533" t="n"/>
      <c r="D166" s="575" t="n"/>
      <c r="E166" s="571" t="n"/>
      <c r="F166" s="571" t="n"/>
      <c r="G166" s="533" t="n"/>
      <c r="H166" s="533" t="n"/>
    </row>
    <row r="167" ht="24" customHeight="1">
      <c r="A167" s="539" t="n"/>
      <c r="B167" s="533" t="n"/>
      <c r="C167" s="533" t="n"/>
      <c r="D167" s="575" t="n"/>
      <c r="E167" s="571" t="n"/>
      <c r="F167" s="571" t="n"/>
      <c r="G167" s="533" t="n"/>
      <c r="H167" s="533" t="n"/>
    </row>
    <row r="168" ht="24" customHeight="1">
      <c r="A168" s="539" t="n"/>
      <c r="B168" s="533" t="n"/>
      <c r="C168" s="533" t="n"/>
      <c r="D168" s="575" t="n"/>
      <c r="E168" s="571" t="n"/>
      <c r="F168" s="571" t="n"/>
      <c r="G168" s="533" t="n"/>
      <c r="H168" s="533" t="n"/>
    </row>
    <row r="169" ht="24" customHeight="1">
      <c r="A169" s="539" t="n"/>
      <c r="B169" s="533" t="n"/>
      <c r="C169" s="533" t="n"/>
      <c r="D169" s="575" t="n"/>
      <c r="E169" s="571" t="n"/>
      <c r="F169" s="571" t="n"/>
      <c r="G169" s="533" t="n"/>
      <c r="H169" s="533" t="n"/>
    </row>
    <row r="170" ht="24" customHeight="1">
      <c r="A170" s="539" t="n"/>
      <c r="B170" s="533" t="n"/>
      <c r="C170" s="533" t="n"/>
      <c r="D170" s="575" t="n"/>
      <c r="E170" s="571" t="n"/>
      <c r="F170" s="571" t="n"/>
      <c r="G170" s="533" t="n"/>
      <c r="H170" s="533" t="n"/>
    </row>
    <row r="171" ht="24" customHeight="1">
      <c r="A171" s="539" t="n"/>
      <c r="B171" s="533" t="n"/>
      <c r="C171" s="533" t="n"/>
      <c r="D171" s="575" t="n"/>
      <c r="E171" s="571" t="n"/>
      <c r="F171" s="571" t="n"/>
      <c r="G171" s="533" t="n"/>
      <c r="H171" s="533" t="n"/>
    </row>
    <row r="172" ht="24" customHeight="1">
      <c r="A172" s="539" t="n"/>
      <c r="B172" s="533" t="n"/>
      <c r="C172" s="533" t="n"/>
      <c r="D172" s="575" t="n"/>
      <c r="E172" s="571" t="n"/>
      <c r="F172" s="571" t="n"/>
      <c r="G172" s="533" t="n"/>
      <c r="H172" s="533" t="n"/>
    </row>
    <row r="173" ht="24" customHeight="1">
      <c r="A173" s="539" t="n"/>
      <c r="B173" s="533" t="n"/>
      <c r="C173" s="533" t="n"/>
      <c r="D173" s="575" t="n"/>
      <c r="E173" s="571" t="n"/>
      <c r="F173" s="571" t="n"/>
      <c r="G173" s="533" t="n"/>
      <c r="H173" s="533" t="n"/>
    </row>
    <row r="174" ht="24" customHeight="1">
      <c r="A174" s="539" t="n"/>
      <c r="B174" s="533" t="n"/>
      <c r="C174" s="533" t="n"/>
      <c r="D174" s="575" t="n"/>
      <c r="E174" s="571" t="n"/>
      <c r="F174" s="571" t="n"/>
      <c r="G174" s="533" t="n"/>
      <c r="H174" s="533" t="n"/>
    </row>
    <row r="175" ht="24" customHeight="1">
      <c r="A175" s="539" t="n"/>
      <c r="B175" s="533" t="n"/>
      <c r="C175" s="533" t="n"/>
      <c r="D175" s="575" t="n"/>
      <c r="E175" s="571" t="n"/>
      <c r="F175" s="571" t="n"/>
      <c r="G175" s="533" t="n"/>
      <c r="H175" s="533" t="n"/>
    </row>
    <row r="176" ht="24" customHeight="1">
      <c r="A176" s="539" t="n"/>
      <c r="B176" s="533" t="n"/>
      <c r="C176" s="533" t="n"/>
      <c r="D176" s="575" t="n"/>
      <c r="E176" s="571" t="n"/>
      <c r="F176" s="571" t="n"/>
      <c r="G176" s="533" t="n"/>
      <c r="H176" s="533" t="n"/>
    </row>
    <row r="177" ht="24" customHeight="1">
      <c r="A177" s="539" t="n"/>
      <c r="B177" s="533" t="n"/>
      <c r="C177" s="533" t="n"/>
      <c r="D177" s="575" t="n"/>
      <c r="E177" s="571" t="n"/>
      <c r="F177" s="571" t="n"/>
      <c r="G177" s="533" t="n"/>
      <c r="H177" s="533" t="n"/>
    </row>
    <row r="178" ht="24" customHeight="1">
      <c r="A178" s="539" t="n"/>
      <c r="B178" s="533" t="n"/>
      <c r="C178" s="533" t="n"/>
      <c r="D178" s="575" t="n"/>
      <c r="E178" s="571" t="n"/>
      <c r="F178" s="571" t="n"/>
      <c r="G178" s="533" t="n"/>
      <c r="H178" s="533" t="n"/>
    </row>
    <row r="179" ht="24" customHeight="1">
      <c r="A179" s="539" t="n"/>
      <c r="B179" s="533" t="n"/>
      <c r="C179" s="533" t="n"/>
      <c r="D179" s="575" t="n"/>
      <c r="E179" s="571" t="n"/>
      <c r="F179" s="571" t="n"/>
      <c r="G179" s="533" t="n"/>
      <c r="H179" s="533" t="n"/>
    </row>
    <row r="180" ht="24" customHeight="1">
      <c r="A180" s="539" t="n"/>
      <c r="B180" s="533" t="n"/>
      <c r="C180" s="533" t="n"/>
      <c r="D180" s="575" t="n"/>
      <c r="E180" s="571" t="n"/>
      <c r="F180" s="571" t="n"/>
      <c r="G180" s="533" t="n"/>
      <c r="H180" s="533" t="n"/>
    </row>
    <row r="181" ht="24" customHeight="1">
      <c r="A181" s="539" t="n"/>
      <c r="B181" s="533" t="n"/>
      <c r="C181" s="533" t="n"/>
      <c r="D181" s="575" t="n"/>
      <c r="E181" s="571" t="n"/>
      <c r="F181" s="571" t="n"/>
      <c r="G181" s="533" t="n"/>
      <c r="H181" s="533" t="n"/>
    </row>
    <row r="182" ht="24" customHeight="1">
      <c r="A182" s="539" t="n"/>
      <c r="B182" s="533" t="n"/>
      <c r="C182" s="533" t="n"/>
      <c r="D182" s="575" t="n"/>
      <c r="E182" s="571" t="n"/>
      <c r="F182" s="571" t="n"/>
      <c r="G182" s="533" t="n"/>
      <c r="H182" s="533" t="n"/>
    </row>
    <row r="183" ht="24" customHeight="1">
      <c r="A183" s="539" t="n"/>
      <c r="B183" s="533" t="n"/>
      <c r="C183" s="533" t="n"/>
      <c r="D183" s="575" t="n"/>
      <c r="E183" s="571" t="n"/>
      <c r="F183" s="571" t="n"/>
      <c r="G183" s="533" t="n"/>
      <c r="H183" s="533" t="n"/>
    </row>
    <row r="184" ht="24" customHeight="1">
      <c r="A184" s="539" t="n"/>
      <c r="B184" s="533" t="n"/>
      <c r="C184" s="533" t="n"/>
      <c r="D184" s="575" t="n"/>
      <c r="E184" s="571" t="n"/>
      <c r="F184" s="571" t="n"/>
      <c r="G184" s="533" t="n"/>
      <c r="H184" s="533" t="n"/>
    </row>
    <row r="185" ht="24" customHeight="1">
      <c r="A185" s="539" t="n"/>
      <c r="B185" s="533" t="n"/>
      <c r="C185" s="533" t="n"/>
      <c r="D185" s="575" t="n"/>
      <c r="E185" s="571" t="n"/>
      <c r="F185" s="571" t="n"/>
      <c r="G185" s="533" t="n"/>
      <c r="H185" s="533" t="n"/>
    </row>
    <row r="186" ht="24" customHeight="1">
      <c r="A186" s="539" t="n"/>
      <c r="B186" s="533" t="n"/>
      <c r="C186" s="533" t="n"/>
      <c r="D186" s="575" t="n"/>
      <c r="E186" s="571" t="n"/>
      <c r="F186" s="571" t="n"/>
      <c r="G186" s="533" t="n"/>
      <c r="H186" s="533" t="n"/>
    </row>
    <row r="187" ht="24" customHeight="1">
      <c r="A187" s="539" t="n"/>
      <c r="B187" s="533" t="n"/>
      <c r="C187" s="533" t="n"/>
      <c r="D187" s="575" t="n"/>
      <c r="E187" s="571" t="n"/>
      <c r="F187" s="571" t="n"/>
      <c r="G187" s="533" t="n"/>
      <c r="H187" s="533" t="n"/>
    </row>
    <row r="188" ht="24" customHeight="1">
      <c r="A188" s="539" t="n"/>
      <c r="B188" s="533" t="n"/>
      <c r="C188" s="533" t="n"/>
      <c r="D188" s="575" t="n"/>
      <c r="E188" s="571" t="n"/>
      <c r="F188" s="571" t="n"/>
      <c r="G188" s="533" t="n"/>
      <c r="H188" s="533" t="n"/>
    </row>
    <row r="189" ht="24" customHeight="1">
      <c r="A189" s="539" t="n"/>
      <c r="B189" s="533" t="n"/>
      <c r="C189" s="533" t="n"/>
      <c r="D189" s="575" t="n"/>
      <c r="E189" s="571" t="n"/>
      <c r="F189" s="571" t="n"/>
      <c r="G189" s="533" t="n"/>
      <c r="H189" s="533" t="n"/>
    </row>
    <row r="190" ht="24" customHeight="1">
      <c r="A190" s="539" t="n"/>
      <c r="B190" s="533" t="n"/>
      <c r="C190" s="533" t="n"/>
      <c r="D190" s="575" t="n"/>
      <c r="E190" s="571" t="n"/>
      <c r="F190" s="571" t="n"/>
      <c r="G190" s="533" t="n"/>
      <c r="H190" s="533" t="n"/>
    </row>
    <row r="191" ht="24" customHeight="1">
      <c r="A191" s="539" t="n"/>
      <c r="B191" s="533" t="n"/>
      <c r="C191" s="533" t="n"/>
      <c r="D191" s="575" t="n"/>
      <c r="E191" s="571" t="n"/>
      <c r="F191" s="571" t="n"/>
      <c r="G191" s="533" t="n"/>
      <c r="H191" s="533" t="n"/>
    </row>
    <row r="192" ht="24" customHeight="1">
      <c r="A192" s="539" t="n"/>
      <c r="B192" s="533" t="n"/>
      <c r="C192" s="533" t="n"/>
      <c r="D192" s="575" t="n"/>
      <c r="E192" s="571" t="n"/>
      <c r="F192" s="571" t="n"/>
      <c r="G192" s="533" t="n"/>
      <c r="H192" s="533" t="n"/>
    </row>
    <row r="193" ht="24" customHeight="1">
      <c r="A193" s="539" t="n"/>
      <c r="B193" s="533" t="n"/>
      <c r="C193" s="533" t="n"/>
      <c r="D193" s="575" t="n"/>
      <c r="E193" s="571" t="n"/>
      <c r="F193" s="571" t="n"/>
      <c r="G193" s="533" t="n"/>
      <c r="H193" s="533" t="n"/>
    </row>
    <row r="194" ht="24" customHeight="1">
      <c r="A194" s="539" t="n"/>
      <c r="B194" s="533" t="n"/>
      <c r="C194" s="533" t="n"/>
      <c r="D194" s="575" t="n"/>
      <c r="E194" s="571" t="n"/>
      <c r="F194" s="571" t="n"/>
      <c r="G194" s="533" t="n"/>
      <c r="H194" s="533" t="n"/>
    </row>
    <row r="195" ht="24" customHeight="1">
      <c r="A195" s="539" t="n"/>
      <c r="B195" s="533" t="n"/>
      <c r="C195" s="533" t="n"/>
      <c r="D195" s="575" t="n"/>
      <c r="E195" s="571" t="n"/>
      <c r="F195" s="571" t="n"/>
      <c r="G195" s="533" t="n"/>
      <c r="H195" s="533" t="n"/>
    </row>
    <row r="196" ht="24" customHeight="1">
      <c r="A196" s="539" t="n"/>
      <c r="B196" s="533" t="n"/>
      <c r="C196" s="533" t="n"/>
      <c r="D196" s="575" t="n"/>
      <c r="E196" s="571" t="n"/>
      <c r="F196" s="571" t="n"/>
      <c r="G196" s="533" t="n"/>
      <c r="H196" s="533" t="n"/>
    </row>
    <row r="197" ht="24" customHeight="1">
      <c r="A197" s="539" t="n"/>
      <c r="B197" s="533" t="n"/>
      <c r="C197" s="533" t="n"/>
      <c r="D197" s="575" t="n"/>
      <c r="E197" s="571" t="n"/>
      <c r="F197" s="571" t="n"/>
      <c r="G197" s="533" t="n"/>
      <c r="H197" s="533" t="n"/>
    </row>
    <row r="198" ht="24" customHeight="1">
      <c r="A198" s="539" t="n"/>
      <c r="B198" s="533" t="n"/>
      <c r="C198" s="533" t="n"/>
      <c r="D198" s="575" t="n"/>
      <c r="E198" s="571" t="n"/>
      <c r="F198" s="571" t="n"/>
      <c r="G198" s="533" t="n"/>
      <c r="H198" s="533" t="n"/>
    </row>
    <row r="199" ht="24" customHeight="1">
      <c r="A199" s="539" t="n"/>
      <c r="B199" s="533" t="n"/>
      <c r="C199" s="533" t="n"/>
      <c r="D199" s="575" t="n"/>
      <c r="E199" s="571" t="n"/>
      <c r="F199" s="571" t="n"/>
      <c r="G199" s="533" t="n"/>
      <c r="H199" s="533" t="n"/>
    </row>
    <row r="200" ht="24" customHeight="1">
      <c r="A200" s="539" t="n"/>
      <c r="B200" s="533" t="n"/>
      <c r="C200" s="533" t="n"/>
      <c r="D200" s="575" t="n"/>
      <c r="E200" s="571" t="n"/>
      <c r="F200" s="571" t="n"/>
      <c r="G200" s="533" t="n"/>
      <c r="H200" s="533" t="n"/>
    </row>
    <row r="201" ht="24" customHeight="1">
      <c r="A201" s="539" t="n"/>
      <c r="B201" s="533" t="n"/>
      <c r="C201" s="533" t="n"/>
      <c r="D201" s="575" t="n"/>
      <c r="E201" s="571" t="n"/>
      <c r="F201" s="571" t="n"/>
      <c r="G201" s="533" t="n"/>
      <c r="H201" s="533" t="n"/>
    </row>
    <row r="202" ht="24" customHeight="1">
      <c r="A202" s="539" t="n"/>
      <c r="B202" s="533" t="n"/>
      <c r="C202" s="533" t="n"/>
      <c r="D202" s="575" t="n"/>
      <c r="E202" s="571" t="n"/>
      <c r="F202" s="571" t="n"/>
      <c r="G202" s="533" t="n"/>
      <c r="H202" s="533" t="n"/>
    </row>
    <row r="203" ht="24" customHeight="1">
      <c r="A203" s="539" t="n"/>
      <c r="B203" s="533" t="n"/>
      <c r="C203" s="533" t="n"/>
      <c r="D203" s="575" t="n"/>
      <c r="E203" s="571" t="n"/>
      <c r="F203" s="571" t="n"/>
      <c r="G203" s="533" t="n"/>
      <c r="H203" s="533" t="n"/>
    </row>
    <row r="204" ht="24" customHeight="1">
      <c r="A204" s="539" t="n"/>
      <c r="B204" s="533" t="n"/>
      <c r="C204" s="533" t="n"/>
      <c r="D204" s="575" t="n"/>
      <c r="E204" s="571" t="n"/>
      <c r="F204" s="571" t="n"/>
      <c r="G204" s="533" t="n"/>
      <c r="H204" s="533" t="n"/>
    </row>
    <row r="205" ht="24" customHeight="1">
      <c r="A205" s="539" t="n"/>
      <c r="B205" s="533" t="n"/>
      <c r="C205" s="533" t="n"/>
      <c r="D205" s="575" t="n"/>
      <c r="E205" s="571" t="n"/>
      <c r="F205" s="571" t="n"/>
      <c r="G205" s="533" t="n"/>
      <c r="H205" s="533" t="n"/>
    </row>
    <row r="206" ht="24" customHeight="1">
      <c r="A206" s="539" t="n"/>
      <c r="B206" s="533" t="n"/>
      <c r="C206" s="533" t="n"/>
      <c r="D206" s="575" t="n"/>
      <c r="E206" s="571" t="n"/>
      <c r="F206" s="571" t="n"/>
      <c r="G206" s="533" t="n"/>
      <c r="H206" s="533" t="n"/>
    </row>
    <row r="207" ht="24" customHeight="1">
      <c r="A207" s="539" t="n"/>
      <c r="B207" s="533" t="n"/>
      <c r="C207" s="533" t="n"/>
      <c r="D207" s="575" t="n"/>
      <c r="E207" s="571" t="n"/>
      <c r="F207" s="571" t="n"/>
      <c r="G207" s="533" t="n"/>
      <c r="H207" s="533" t="n"/>
    </row>
    <row r="208" ht="24" customHeight="1">
      <c r="A208" s="539" t="n"/>
      <c r="B208" s="533" t="n"/>
      <c r="C208" s="533" t="n"/>
      <c r="D208" s="575" t="n"/>
      <c r="E208" s="571" t="n"/>
      <c r="F208" s="571" t="n"/>
      <c r="G208" s="533" t="n"/>
      <c r="H208" s="533" t="n"/>
    </row>
    <row r="209" ht="24" customHeight="1">
      <c r="A209" s="539" t="n"/>
      <c r="B209" s="533" t="n"/>
      <c r="C209" s="533" t="n"/>
      <c r="D209" s="575" t="n"/>
      <c r="E209" s="571" t="n"/>
      <c r="F209" s="571" t="n"/>
      <c r="G209" s="533" t="n"/>
      <c r="H209" s="533" t="n"/>
    </row>
    <row r="210" ht="24" customHeight="1">
      <c r="A210" s="539" t="n"/>
      <c r="B210" s="533" t="n"/>
      <c r="C210" s="533" t="n"/>
      <c r="D210" s="575" t="n"/>
      <c r="E210" s="571" t="n"/>
      <c r="F210" s="571" t="n"/>
      <c r="G210" s="533" t="n"/>
      <c r="H210" s="533" t="n"/>
    </row>
    <row r="211" ht="24" customHeight="1">
      <c r="A211" s="539" t="n"/>
      <c r="B211" s="533" t="n"/>
      <c r="C211" s="533" t="n"/>
      <c r="D211" s="575" t="n"/>
      <c r="E211" s="571" t="n"/>
      <c r="F211" s="571" t="n"/>
      <c r="G211" s="533" t="n"/>
      <c r="H211" s="533" t="n"/>
    </row>
    <row r="212" ht="24" customHeight="1">
      <c r="A212" s="539" t="n"/>
      <c r="B212" s="533" t="n"/>
      <c r="C212" s="533" t="n"/>
      <c r="D212" s="575" t="n"/>
      <c r="E212" s="571" t="n"/>
      <c r="F212" s="571" t="n"/>
      <c r="G212" s="533" t="n"/>
      <c r="H212" s="533" t="n"/>
    </row>
    <row r="213" ht="24" customHeight="1">
      <c r="A213" s="539" t="n"/>
      <c r="B213" s="533" t="n"/>
      <c r="C213" s="533" t="n"/>
      <c r="D213" s="575" t="n"/>
      <c r="E213" s="571" t="n"/>
      <c r="F213" s="571" t="n"/>
      <c r="G213" s="533" t="n"/>
      <c r="H213" s="533" t="n"/>
    </row>
    <row r="214" ht="24" customHeight="1">
      <c r="A214" s="539" t="n"/>
      <c r="B214" s="533" t="n"/>
      <c r="C214" s="533" t="n"/>
      <c r="D214" s="575" t="n"/>
      <c r="E214" s="571" t="n"/>
      <c r="F214" s="571" t="n"/>
      <c r="G214" s="533" t="n"/>
      <c r="H214" s="533" t="n"/>
    </row>
    <row r="215" ht="24" customHeight="1">
      <c r="A215" s="539" t="n"/>
      <c r="B215" s="533" t="n"/>
      <c r="C215" s="533" t="n"/>
      <c r="D215" s="575" t="n"/>
      <c r="E215" s="571" t="n"/>
      <c r="F215" s="571" t="n"/>
      <c r="G215" s="533" t="n"/>
      <c r="H215" s="533" t="n"/>
    </row>
    <row r="216" ht="24" customHeight="1">
      <c r="A216" s="539" t="n"/>
      <c r="B216" s="533" t="n"/>
      <c r="C216" s="533" t="n"/>
      <c r="D216" s="575" t="n"/>
      <c r="E216" s="571" t="n"/>
      <c r="F216" s="571" t="n"/>
      <c r="G216" s="533" t="n"/>
      <c r="H216" s="533" t="n"/>
    </row>
    <row r="217" ht="24" customHeight="1">
      <c r="A217" s="539" t="n"/>
      <c r="B217" s="533" t="n"/>
      <c r="C217" s="533" t="n"/>
      <c r="D217" s="575" t="n"/>
      <c r="E217" s="571" t="n"/>
      <c r="F217" s="571" t="n"/>
      <c r="G217" s="533" t="n"/>
      <c r="H217" s="533" t="n"/>
    </row>
    <row r="218" ht="24" customHeight="1">
      <c r="A218" s="539" t="n"/>
      <c r="B218" s="533" t="n"/>
      <c r="C218" s="533" t="n"/>
      <c r="D218" s="575" t="n"/>
      <c r="E218" s="571" t="n"/>
      <c r="F218" s="571" t="n"/>
      <c r="G218" s="533" t="n"/>
      <c r="H218" s="533" t="n"/>
    </row>
    <row r="219" ht="24" customHeight="1">
      <c r="A219" s="539" t="n"/>
      <c r="B219" s="533" t="n"/>
      <c r="C219" s="533" t="n"/>
      <c r="D219" s="575" t="n"/>
      <c r="E219" s="571" t="n"/>
      <c r="F219" s="571" t="n"/>
      <c r="G219" s="533" t="n"/>
      <c r="H219" s="533" t="n"/>
    </row>
    <row r="220" ht="24" customHeight="1">
      <c r="A220" s="539" t="n"/>
      <c r="B220" s="533" t="n"/>
      <c r="C220" s="533" t="n"/>
      <c r="D220" s="575" t="n"/>
      <c r="E220" s="571" t="n"/>
      <c r="F220" s="571" t="n"/>
      <c r="G220" s="533" t="n"/>
      <c r="H220" s="533" t="n"/>
    </row>
    <row r="221" ht="24" customHeight="1">
      <c r="A221" s="539" t="n"/>
      <c r="B221" s="533" t="n"/>
      <c r="C221" s="533" t="n"/>
      <c r="D221" s="575" t="n"/>
      <c r="E221" s="571" t="n"/>
      <c r="F221" s="571" t="n"/>
      <c r="G221" s="533" t="n"/>
      <c r="H221" s="533" t="n"/>
    </row>
    <row r="222" ht="24" customHeight="1">
      <c r="A222" s="539" t="n"/>
      <c r="B222" s="533" t="n"/>
      <c r="C222" s="533" t="n"/>
      <c r="D222" s="575" t="n"/>
      <c r="E222" s="571" t="n"/>
      <c r="F222" s="571" t="n"/>
      <c r="G222" s="533" t="n"/>
      <c r="H222" s="533" t="n"/>
    </row>
    <row r="223" ht="24" customHeight="1">
      <c r="A223" s="539" t="n"/>
      <c r="B223" s="533" t="n"/>
      <c r="C223" s="533" t="n"/>
      <c r="D223" s="575" t="n"/>
      <c r="E223" s="571" t="n"/>
      <c r="F223" s="571" t="n"/>
      <c r="G223" s="533" t="n"/>
      <c r="H223" s="533" t="n"/>
    </row>
    <row r="224" ht="24" customHeight="1">
      <c r="A224" s="539" t="n"/>
      <c r="B224" s="533" t="n"/>
      <c r="C224" s="533" t="n"/>
      <c r="D224" s="575" t="n"/>
      <c r="E224" s="571" t="n"/>
      <c r="F224" s="571" t="n"/>
      <c r="G224" s="533" t="n"/>
      <c r="H224" s="533" t="n"/>
    </row>
    <row r="225" ht="24" customHeight="1">
      <c r="A225" s="539" t="n"/>
      <c r="B225" s="533" t="n"/>
      <c r="C225" s="533" t="n"/>
      <c r="D225" s="575" t="n"/>
      <c r="E225" s="571" t="n"/>
      <c r="F225" s="571" t="n"/>
      <c r="G225" s="533" t="n"/>
      <c r="H225" s="533" t="n"/>
    </row>
    <row r="226" ht="24" customHeight="1">
      <c r="A226" s="539" t="n"/>
      <c r="B226" s="533" t="n"/>
      <c r="C226" s="533" t="n"/>
      <c r="D226" s="575" t="n"/>
      <c r="E226" s="571" t="n"/>
      <c r="F226" s="571" t="n"/>
      <c r="G226" s="533" t="n"/>
      <c r="H226" s="533" t="n"/>
    </row>
    <row r="227" ht="24" customHeight="1">
      <c r="A227" s="539" t="n"/>
      <c r="B227" s="533" t="n"/>
      <c r="C227" s="533" t="n"/>
      <c r="D227" s="575" t="n"/>
      <c r="E227" s="571" t="n"/>
      <c r="F227" s="571" t="n"/>
      <c r="G227" s="533" t="n"/>
      <c r="H227" s="533" t="n"/>
    </row>
    <row r="228" ht="24" customHeight="1">
      <c r="A228" s="539" t="n"/>
      <c r="B228" s="533" t="n"/>
      <c r="C228" s="533" t="n"/>
      <c r="D228" s="575" t="n"/>
      <c r="E228" s="571" t="n"/>
      <c r="F228" s="571" t="n"/>
      <c r="G228" s="533" t="n"/>
      <c r="H228" s="533" t="n"/>
    </row>
    <row r="229" ht="24" customHeight="1">
      <c r="A229" s="539" t="n"/>
      <c r="B229" s="533" t="n"/>
      <c r="C229" s="533" t="n"/>
      <c r="D229" s="575" t="n"/>
      <c r="E229" s="571" t="n"/>
      <c r="F229" s="571" t="n"/>
      <c r="G229" s="533" t="n"/>
      <c r="H229" s="533" t="n"/>
    </row>
    <row r="230" ht="24" customHeight="1">
      <c r="A230" s="539" t="n"/>
      <c r="B230" s="533" t="n"/>
      <c r="C230" s="533" t="n"/>
      <c r="D230" s="575" t="n"/>
      <c r="E230" s="571" t="n"/>
      <c r="F230" s="571" t="n"/>
      <c r="G230" s="533" t="n"/>
      <c r="H230" s="533" t="n"/>
    </row>
    <row r="231" ht="24" customHeight="1">
      <c r="A231" s="539" t="n"/>
      <c r="B231" s="533" t="n"/>
      <c r="C231" s="533" t="n"/>
      <c r="D231" s="575" t="n"/>
      <c r="E231" s="571" t="n"/>
      <c r="F231" s="571" t="n"/>
      <c r="G231" s="533" t="n"/>
      <c r="H231" s="533" t="n"/>
    </row>
    <row r="232" ht="24" customHeight="1">
      <c r="A232" s="539" t="n"/>
      <c r="B232" s="533" t="n"/>
      <c r="C232" s="533" t="n"/>
      <c r="D232" s="575" t="n"/>
      <c r="E232" s="571" t="n"/>
      <c r="F232" s="571" t="n"/>
      <c r="G232" s="533" t="n"/>
      <c r="H232" s="533" t="n"/>
    </row>
    <row r="233" ht="24" customHeight="1">
      <c r="A233" s="539" t="n"/>
      <c r="B233" s="533" t="n"/>
      <c r="C233" s="533" t="n"/>
      <c r="D233" s="575" t="n"/>
      <c r="E233" s="571" t="n"/>
      <c r="F233" s="571" t="n"/>
      <c r="G233" s="533" t="n"/>
      <c r="H233" s="533" t="n"/>
    </row>
    <row r="234" ht="24" customHeight="1">
      <c r="A234" s="539" t="n"/>
      <c r="B234" s="533" t="n"/>
      <c r="C234" s="533" t="n"/>
      <c r="D234" s="575" t="n"/>
      <c r="E234" s="571" t="n"/>
      <c r="F234" s="571" t="n"/>
      <c r="G234" s="533" t="n"/>
      <c r="H234" s="533" t="n"/>
    </row>
    <row r="235" ht="24" customHeight="1">
      <c r="A235" s="539" t="n"/>
      <c r="B235" s="533" t="n"/>
      <c r="C235" s="533" t="n"/>
      <c r="D235" s="575" t="n"/>
      <c r="E235" s="571" t="n"/>
      <c r="F235" s="571" t="n"/>
      <c r="G235" s="533" t="n"/>
      <c r="H235" s="533" t="n"/>
    </row>
    <row r="236" ht="24" customHeight="1">
      <c r="A236" s="539" t="n"/>
      <c r="B236" s="533" t="n"/>
      <c r="C236" s="533" t="n"/>
      <c r="D236" s="575" t="n"/>
      <c r="E236" s="571" t="n"/>
      <c r="F236" s="571" t="n"/>
      <c r="G236" s="533" t="n"/>
      <c r="H236" s="533" t="n"/>
    </row>
    <row r="237" ht="24" customHeight="1">
      <c r="A237" s="539" t="n"/>
      <c r="B237" s="533" t="n"/>
      <c r="C237" s="533" t="n"/>
      <c r="D237" s="575" t="n"/>
      <c r="E237" s="571" t="n"/>
      <c r="F237" s="571" t="n"/>
      <c r="G237" s="533" t="n"/>
      <c r="H237" s="533" t="n"/>
    </row>
    <row r="238" ht="24" customHeight="1">
      <c r="A238" s="539" t="n"/>
      <c r="B238" s="533" t="n"/>
      <c r="C238" s="533" t="n"/>
      <c r="D238" s="575" t="n"/>
      <c r="E238" s="571" t="n"/>
      <c r="F238" s="571" t="n"/>
      <c r="G238" s="533" t="n"/>
      <c r="H238" s="533" t="n"/>
    </row>
    <row r="239" ht="24" customHeight="1">
      <c r="A239" s="539" t="n"/>
      <c r="B239" s="533" t="n"/>
      <c r="C239" s="533" t="n"/>
      <c r="D239" s="575" t="n"/>
      <c r="E239" s="571" t="n"/>
      <c r="F239" s="571" t="n"/>
      <c r="G239" s="533" t="n"/>
      <c r="H239" s="533" t="n"/>
    </row>
    <row r="240" ht="24" customHeight="1">
      <c r="A240" s="539" t="n"/>
      <c r="B240" s="533" t="n"/>
      <c r="C240" s="533" t="n"/>
      <c r="D240" s="575" t="n"/>
      <c r="E240" s="571" t="n"/>
      <c r="F240" s="571" t="n"/>
      <c r="G240" s="533" t="n"/>
      <c r="H240" s="533" t="n"/>
    </row>
    <row r="241" ht="24" customHeight="1">
      <c r="A241" s="539" t="n"/>
      <c r="B241" s="533" t="n"/>
      <c r="C241" s="533" t="n"/>
      <c r="D241" s="575" t="n"/>
      <c r="E241" s="571" t="n"/>
      <c r="F241" s="571" t="n"/>
      <c r="G241" s="533" t="n"/>
      <c r="H241" s="533" t="n"/>
    </row>
    <row r="242" ht="24" customHeight="1">
      <c r="A242" s="539" t="n"/>
      <c r="B242" s="533" t="n"/>
      <c r="C242" s="533" t="n"/>
      <c r="D242" s="575" t="n"/>
      <c r="E242" s="571" t="n"/>
      <c r="F242" s="571" t="n"/>
      <c r="G242" s="533" t="n"/>
      <c r="H242" s="533" t="n"/>
    </row>
    <row r="243" ht="24" customHeight="1">
      <c r="A243" s="539" t="n"/>
      <c r="B243" s="533" t="n"/>
      <c r="C243" s="533" t="n"/>
      <c r="D243" s="575" t="n"/>
      <c r="E243" s="571" t="n"/>
      <c r="F243" s="571" t="n"/>
      <c r="G243" s="533" t="n"/>
      <c r="H243" s="533" t="n"/>
    </row>
    <row r="244" ht="24" customHeight="1">
      <c r="A244" s="539" t="n"/>
      <c r="B244" s="533" t="n"/>
      <c r="C244" s="533" t="n"/>
      <c r="D244" s="575" t="n"/>
      <c r="E244" s="571" t="n"/>
      <c r="F244" s="571" t="n"/>
      <c r="G244" s="533" t="n"/>
      <c r="H244" s="533" t="n"/>
    </row>
    <row r="245" ht="24" customHeight="1">
      <c r="A245" s="539" t="n"/>
      <c r="B245" s="533" t="n"/>
      <c r="C245" s="533" t="n"/>
      <c r="D245" s="575" t="n"/>
      <c r="E245" s="571" t="n"/>
      <c r="F245" s="571" t="n"/>
      <c r="G245" s="533" t="n"/>
      <c r="H245" s="533" t="n"/>
    </row>
    <row r="246" ht="24" customHeight="1">
      <c r="A246" s="539" t="n"/>
      <c r="B246" s="533" t="n"/>
      <c r="C246" s="533" t="n"/>
      <c r="D246" s="575" t="n"/>
      <c r="E246" s="571" t="n"/>
      <c r="F246" s="571" t="n"/>
      <c r="G246" s="533" t="n"/>
      <c r="H246" s="533" t="n"/>
    </row>
    <row r="247" ht="24" customHeight="1">
      <c r="A247" s="539" t="n"/>
      <c r="B247" s="533" t="n"/>
      <c r="C247" s="533" t="n"/>
      <c r="D247" s="575" t="n"/>
      <c r="E247" s="571" t="n"/>
      <c r="F247" s="571" t="n"/>
      <c r="G247" s="533" t="n"/>
      <c r="H247" s="533" t="n"/>
    </row>
    <row r="248" ht="24" customHeight="1">
      <c r="A248" s="539" t="n"/>
      <c r="B248" s="533" t="n"/>
      <c r="C248" s="533" t="n"/>
      <c r="D248" s="575" t="n"/>
      <c r="E248" s="571" t="n"/>
      <c r="F248" s="571" t="n"/>
      <c r="G248" s="533" t="n"/>
      <c r="H248" s="533" t="n"/>
    </row>
    <row r="249" ht="24" customHeight="1">
      <c r="A249" s="539" t="n"/>
      <c r="B249" s="533" t="n"/>
      <c r="C249" s="533" t="n"/>
      <c r="D249" s="575" t="n"/>
      <c r="E249" s="571" t="n"/>
      <c r="F249" s="571" t="n"/>
      <c r="G249" s="533" t="n"/>
      <c r="H249" s="533" t="n"/>
    </row>
    <row r="250" ht="24" customHeight="1">
      <c r="A250" s="539" t="n"/>
      <c r="B250" s="533" t="n"/>
      <c r="C250" s="533" t="n"/>
      <c r="D250" s="575" t="n"/>
      <c r="E250" s="571" t="n"/>
      <c r="F250" s="571" t="n"/>
      <c r="G250" s="533" t="n"/>
      <c r="H250" s="533" t="n"/>
    </row>
    <row r="251" ht="24" customHeight="1">
      <c r="A251" s="539" t="n"/>
      <c r="B251" s="533" t="n"/>
      <c r="C251" s="533" t="n"/>
      <c r="D251" s="575" t="n"/>
      <c r="E251" s="571" t="n"/>
      <c r="F251" s="571" t="n"/>
      <c r="G251" s="533" t="n"/>
      <c r="H251" s="533" t="n"/>
    </row>
    <row r="252" ht="24" customHeight="1">
      <c r="A252" s="539" t="n"/>
      <c r="B252" s="533" t="n"/>
      <c r="C252" s="533" t="n"/>
      <c r="D252" s="575" t="n"/>
      <c r="E252" s="571" t="n"/>
      <c r="F252" s="571" t="n"/>
      <c r="G252" s="533" t="n"/>
      <c r="H252" s="533" t="n"/>
    </row>
    <row r="253" ht="24" customHeight="1">
      <c r="A253" s="539" t="n"/>
      <c r="B253" s="533" t="n"/>
      <c r="C253" s="533" t="n"/>
      <c r="D253" s="575" t="n"/>
      <c r="E253" s="571" t="n"/>
      <c r="F253" s="571" t="n"/>
      <c r="G253" s="533" t="n"/>
      <c r="H253" s="533" t="n"/>
    </row>
    <row r="254" ht="24" customHeight="1">
      <c r="A254" s="539" t="n"/>
      <c r="B254" s="533" t="n"/>
      <c r="C254" s="533" t="n"/>
      <c r="D254" s="575" t="n"/>
      <c r="E254" s="571" t="n"/>
      <c r="F254" s="571" t="n"/>
      <c r="G254" s="533" t="n"/>
      <c r="H254" s="533" t="n"/>
    </row>
    <row r="255" ht="24" customHeight="1">
      <c r="A255" s="539" t="n"/>
      <c r="B255" s="533" t="n"/>
      <c r="C255" s="533" t="n"/>
      <c r="D255" s="575" t="n"/>
      <c r="E255" s="571" t="n"/>
      <c r="F255" s="571" t="n"/>
      <c r="G255" s="533" t="n"/>
      <c r="H255" s="533" t="n"/>
    </row>
    <row r="256" ht="24" customHeight="1">
      <c r="A256" s="539" t="n"/>
      <c r="B256" s="533" t="n"/>
      <c r="C256" s="533" t="n"/>
      <c r="D256" s="575" t="n"/>
      <c r="E256" s="571" t="n"/>
      <c r="F256" s="571" t="n"/>
      <c r="G256" s="533" t="n"/>
      <c r="H256" s="533" t="n"/>
    </row>
    <row r="257" ht="24" customHeight="1">
      <c r="A257" s="539" t="n"/>
      <c r="B257" s="533" t="n"/>
      <c r="C257" s="533" t="n"/>
      <c r="D257" s="575" t="n"/>
      <c r="E257" s="571" t="n"/>
      <c r="F257" s="571" t="n"/>
      <c r="G257" s="533" t="n"/>
      <c r="H257" s="533" t="n"/>
    </row>
    <row r="258" ht="24" customHeight="1">
      <c r="A258" s="539" t="n"/>
      <c r="B258" s="533" t="n"/>
      <c r="C258" s="533" t="n"/>
      <c r="D258" s="575" t="n"/>
      <c r="E258" s="571" t="n"/>
      <c r="F258" s="571" t="n"/>
      <c r="G258" s="533" t="n"/>
      <c r="H258" s="533" t="n"/>
    </row>
    <row r="259" ht="24" customHeight="1">
      <c r="A259" s="539" t="n"/>
      <c r="B259" s="533" t="n"/>
      <c r="C259" s="533" t="n"/>
      <c r="D259" s="575" t="n"/>
      <c r="E259" s="571" t="n"/>
      <c r="F259" s="571" t="n"/>
      <c r="G259" s="533" t="n"/>
      <c r="H259" s="533" t="n"/>
    </row>
    <row r="260" ht="24" customHeight="1">
      <c r="A260" s="539" t="n"/>
      <c r="B260" s="533" t="n"/>
      <c r="C260" s="533" t="n"/>
      <c r="D260" s="575" t="n"/>
      <c r="E260" s="571" t="n"/>
      <c r="F260" s="571" t="n"/>
      <c r="G260" s="533" t="n"/>
      <c r="H260" s="533" t="n"/>
    </row>
    <row r="261" ht="24" customHeight="1">
      <c r="A261" s="539" t="n"/>
      <c r="B261" s="533" t="n"/>
      <c r="C261" s="533" t="n"/>
      <c r="D261" s="575" t="n"/>
      <c r="E261" s="571" t="n"/>
      <c r="F261" s="571" t="n"/>
      <c r="G261" s="533" t="n"/>
      <c r="H261" s="533" t="n"/>
    </row>
    <row r="262" ht="24" customHeight="1">
      <c r="A262" s="539" t="n"/>
      <c r="B262" s="533" t="n"/>
      <c r="C262" s="533" t="n"/>
      <c r="D262" s="575" t="n"/>
      <c r="E262" s="571" t="n"/>
      <c r="F262" s="571" t="n"/>
      <c r="G262" s="533" t="n"/>
      <c r="H262" s="533" t="n"/>
    </row>
    <row r="263" ht="24" customHeight="1">
      <c r="A263" s="539" t="n"/>
      <c r="B263" s="533" t="n"/>
      <c r="C263" s="533" t="n"/>
      <c r="D263" s="575" t="n"/>
      <c r="E263" s="571" t="n"/>
      <c r="F263" s="571" t="n"/>
      <c r="G263" s="533" t="n"/>
      <c r="H263" s="533" t="n"/>
    </row>
    <row r="264" ht="24" customHeight="1">
      <c r="A264" s="539" t="n"/>
      <c r="B264" s="533" t="n"/>
      <c r="C264" s="533" t="n"/>
      <c r="D264" s="575" t="n"/>
      <c r="E264" s="571" t="n"/>
      <c r="F264" s="571" t="n"/>
      <c r="G264" s="533" t="n"/>
      <c r="H264" s="533" t="n"/>
    </row>
    <row r="265" ht="24" customHeight="1">
      <c r="A265" s="539" t="n"/>
      <c r="B265" s="533" t="n"/>
      <c r="C265" s="533" t="n"/>
      <c r="D265" s="575" t="n"/>
      <c r="E265" s="571" t="n"/>
      <c r="F265" s="571" t="n"/>
      <c r="G265" s="533" t="n"/>
      <c r="H265" s="533" t="n"/>
    </row>
    <row r="266" ht="24" customHeight="1">
      <c r="A266" s="539" t="n"/>
      <c r="B266" s="533" t="n"/>
      <c r="C266" s="533" t="n"/>
      <c r="D266" s="575" t="n"/>
      <c r="E266" s="571" t="n"/>
      <c r="F266" s="571" t="n"/>
      <c r="G266" s="533" t="n"/>
      <c r="H266" s="533" t="n"/>
    </row>
    <row r="267" ht="24" customHeight="1">
      <c r="A267" s="539" t="n"/>
      <c r="B267" s="533" t="n"/>
      <c r="C267" s="533" t="n"/>
      <c r="D267" s="575" t="n"/>
      <c r="E267" s="571" t="n"/>
      <c r="F267" s="571" t="n"/>
      <c r="G267" s="533" t="n"/>
      <c r="H267" s="533" t="n"/>
    </row>
    <row r="268" ht="24" customHeight="1">
      <c r="A268" s="539" t="n"/>
      <c r="B268" s="533" t="n"/>
      <c r="C268" s="533" t="n"/>
      <c r="D268" s="575" t="n"/>
      <c r="E268" s="571" t="n"/>
      <c r="F268" s="571" t="n"/>
      <c r="G268" s="533" t="n"/>
      <c r="H268" s="533" t="n"/>
    </row>
    <row r="269" ht="24" customHeight="1">
      <c r="A269" s="539" t="n"/>
      <c r="B269" s="533" t="n"/>
      <c r="C269" s="533" t="n"/>
      <c r="D269" s="575" t="n"/>
      <c r="E269" s="571" t="n"/>
      <c r="F269" s="571" t="n"/>
      <c r="G269" s="533" t="n"/>
      <c r="H269" s="533" t="n"/>
    </row>
    <row r="270" ht="24" customHeight="1">
      <c r="A270" s="539" t="n"/>
      <c r="B270" s="533" t="n"/>
      <c r="C270" s="533" t="n"/>
      <c r="D270" s="575" t="n"/>
      <c r="E270" s="571" t="n"/>
      <c r="F270" s="571" t="n"/>
      <c r="G270" s="533" t="n"/>
      <c r="H270" s="533" t="n"/>
    </row>
    <row r="271" ht="24" customHeight="1">
      <c r="A271" s="539" t="n"/>
      <c r="B271" s="533" t="n"/>
      <c r="C271" s="533" t="n"/>
      <c r="D271" s="575" t="n"/>
      <c r="E271" s="571" t="n"/>
      <c r="F271" s="571" t="n"/>
      <c r="G271" s="533" t="n"/>
      <c r="H271" s="533" t="n"/>
    </row>
    <row r="272" ht="24" customHeight="1">
      <c r="A272" s="539" t="n"/>
      <c r="B272" s="533" t="n"/>
      <c r="C272" s="533" t="n"/>
      <c r="D272" s="575" t="n"/>
      <c r="E272" s="571" t="n"/>
      <c r="F272" s="571" t="n"/>
      <c r="G272" s="533" t="n"/>
      <c r="H272" s="533" t="n"/>
    </row>
    <row r="273" ht="24" customHeight="1">
      <c r="A273" s="539" t="n"/>
      <c r="B273" s="533" t="n"/>
      <c r="C273" s="533" t="n"/>
      <c r="D273" s="575" t="n"/>
      <c r="E273" s="571" t="n"/>
      <c r="F273" s="571" t="n"/>
      <c r="G273" s="533" t="n"/>
      <c r="H273" s="533" t="n"/>
    </row>
    <row r="274" ht="24" customHeight="1">
      <c r="A274" s="539" t="n"/>
      <c r="B274" s="533" t="n"/>
      <c r="C274" s="533" t="n"/>
      <c r="D274" s="575" t="n"/>
      <c r="E274" s="571" t="n"/>
      <c r="F274" s="571" t="n"/>
      <c r="G274" s="533" t="n"/>
      <c r="H274" s="533" t="n"/>
    </row>
    <row r="275" ht="24" customHeight="1">
      <c r="A275" s="539" t="n"/>
      <c r="B275" s="533" t="n"/>
      <c r="C275" s="533" t="n"/>
      <c r="D275" s="575" t="n"/>
      <c r="E275" s="571" t="n"/>
      <c r="F275" s="571" t="n"/>
      <c r="G275" s="533" t="n"/>
      <c r="H275" s="533" t="n"/>
    </row>
    <row r="276" ht="24" customHeight="1">
      <c r="A276" s="539" t="n"/>
      <c r="B276" s="533" t="n"/>
      <c r="C276" s="533" t="n"/>
      <c r="D276" s="575" t="n"/>
      <c r="E276" s="571" t="n"/>
      <c r="F276" s="571" t="n"/>
      <c r="G276" s="533" t="n"/>
      <c r="H276" s="533" t="n"/>
    </row>
    <row r="277" ht="24" customHeight="1">
      <c r="A277" s="539" t="n"/>
      <c r="B277" s="533" t="n"/>
      <c r="C277" s="533" t="n"/>
      <c r="D277" s="575" t="n"/>
      <c r="E277" s="571" t="n"/>
      <c r="F277" s="571" t="n"/>
      <c r="G277" s="533" t="n"/>
      <c r="H277" s="533" t="n"/>
    </row>
    <row r="278" ht="24" customHeight="1">
      <c r="A278" s="539" t="n"/>
      <c r="B278" s="533" t="n"/>
      <c r="C278" s="533" t="n"/>
      <c r="D278" s="575" t="n"/>
      <c r="E278" s="571" t="n"/>
      <c r="F278" s="571" t="n"/>
      <c r="G278" s="533" t="n"/>
      <c r="H278" s="533" t="n"/>
    </row>
    <row r="279" ht="24" customHeight="1">
      <c r="A279" s="539" t="n"/>
      <c r="B279" s="533" t="n"/>
      <c r="C279" s="533" t="n"/>
      <c r="D279" s="575" t="n"/>
      <c r="E279" s="571" t="n"/>
      <c r="F279" s="571" t="n"/>
      <c r="G279" s="533" t="n"/>
      <c r="H279" s="533" t="n"/>
    </row>
    <row r="280" ht="24" customHeight="1">
      <c r="A280" s="539" t="n"/>
      <c r="B280" s="533" t="n"/>
      <c r="C280" s="533" t="n"/>
      <c r="D280" s="575" t="n"/>
      <c r="E280" s="571" t="n"/>
      <c r="F280" s="571" t="n"/>
      <c r="G280" s="533" t="n"/>
      <c r="H280" s="533" t="n"/>
    </row>
    <row r="281" ht="24" customHeight="1">
      <c r="A281" s="539" t="n"/>
      <c r="B281" s="533" t="n"/>
      <c r="C281" s="533" t="n"/>
      <c r="D281" s="575" t="n"/>
      <c r="E281" s="571" t="n"/>
      <c r="F281" s="571" t="n"/>
      <c r="G281" s="533" t="n"/>
      <c r="H281" s="533" t="n"/>
    </row>
    <row r="282" ht="24" customHeight="1">
      <c r="A282" s="539" t="n"/>
      <c r="B282" s="533" t="n"/>
      <c r="C282" s="533" t="n"/>
      <c r="D282" s="575" t="n"/>
      <c r="E282" s="571" t="n"/>
      <c r="F282" s="571" t="n"/>
      <c r="G282" s="533" t="n"/>
      <c r="H282" s="533" t="n"/>
    </row>
    <row r="283" ht="24" customHeight="1">
      <c r="A283" s="539" t="n"/>
      <c r="B283" s="533" t="n"/>
      <c r="C283" s="533" t="n"/>
      <c r="D283" s="575" t="n"/>
      <c r="E283" s="571" t="n"/>
      <c r="F283" s="571" t="n"/>
      <c r="G283" s="533" t="n"/>
      <c r="H283" s="533" t="n"/>
    </row>
    <row r="284" ht="24" customHeight="1">
      <c r="A284" s="539" t="n"/>
      <c r="B284" s="533" t="n"/>
      <c r="C284" s="533" t="n"/>
      <c r="D284" s="575" t="n"/>
      <c r="E284" s="571" t="n"/>
      <c r="F284" s="571" t="n"/>
      <c r="G284" s="533" t="n"/>
      <c r="H284" s="533" t="n"/>
    </row>
    <row r="285" ht="24" customHeight="1">
      <c r="A285" s="539" t="n"/>
      <c r="B285" s="533" t="n"/>
      <c r="C285" s="533" t="n"/>
      <c r="D285" s="575" t="n"/>
      <c r="E285" s="571" t="n"/>
      <c r="F285" s="571" t="n"/>
      <c r="G285" s="533" t="n"/>
      <c r="H285" s="533" t="n"/>
    </row>
    <row r="286" ht="24" customHeight="1">
      <c r="A286" s="539" t="n"/>
      <c r="B286" s="533" t="n"/>
      <c r="C286" s="533" t="n"/>
      <c r="D286" s="575" t="n"/>
      <c r="E286" s="571" t="n"/>
      <c r="F286" s="571" t="n"/>
      <c r="G286" s="533" t="n"/>
      <c r="H286" s="533" t="n"/>
    </row>
    <row r="287" ht="24" customHeight="1">
      <c r="A287" s="539" t="n"/>
      <c r="B287" s="533" t="n"/>
      <c r="C287" s="533" t="n"/>
      <c r="D287" s="575" t="n"/>
      <c r="E287" s="571" t="n"/>
      <c r="F287" s="571" t="n"/>
      <c r="G287" s="533" t="n"/>
      <c r="H287" s="533" t="n"/>
    </row>
    <row r="288" ht="24" customHeight="1">
      <c r="A288" s="539" t="n"/>
      <c r="B288" s="533" t="n"/>
      <c r="C288" s="533" t="n"/>
      <c r="D288" s="575" t="n"/>
      <c r="E288" s="571" t="n"/>
      <c r="F288" s="571" t="n"/>
      <c r="G288" s="533" t="n"/>
      <c r="H288" s="533" t="n"/>
    </row>
    <row r="289" ht="24" customHeight="1">
      <c r="A289" s="539" t="n"/>
      <c r="B289" s="533" t="n"/>
      <c r="C289" s="533" t="n"/>
      <c r="D289" s="575" t="n"/>
      <c r="E289" s="571" t="n"/>
      <c r="F289" s="571" t="n"/>
      <c r="G289" s="533" t="n"/>
      <c r="H289" s="533" t="n"/>
    </row>
    <row r="290" ht="24" customHeight="1">
      <c r="A290" s="539" t="n"/>
      <c r="B290" s="533" t="n"/>
      <c r="C290" s="533" t="n"/>
      <c r="D290" s="575" t="n"/>
      <c r="E290" s="571" t="n"/>
      <c r="F290" s="571" t="n"/>
      <c r="G290" s="533" t="n"/>
      <c r="H290" s="533" t="n"/>
    </row>
    <row r="291" ht="24" customHeight="1">
      <c r="A291" s="539" t="n"/>
      <c r="B291" s="533" t="n"/>
      <c r="C291" s="533" t="n"/>
      <c r="D291" s="575" t="n"/>
      <c r="E291" s="571" t="n"/>
      <c r="F291" s="571" t="n"/>
      <c r="G291" s="533" t="n"/>
      <c r="H291" s="533" t="n"/>
    </row>
    <row r="292" ht="24" customHeight="1">
      <c r="A292" s="539" t="n"/>
      <c r="B292" s="533" t="n"/>
      <c r="C292" s="533" t="n"/>
      <c r="D292" s="575" t="n"/>
      <c r="E292" s="571" t="n"/>
      <c r="F292" s="571" t="n"/>
      <c r="G292" s="533" t="n"/>
      <c r="H292" s="533" t="n"/>
    </row>
    <row r="293" ht="24" customHeight="1">
      <c r="A293" s="539" t="n"/>
      <c r="B293" s="533" t="n"/>
      <c r="C293" s="533" t="n"/>
      <c r="D293" s="575" t="n"/>
      <c r="E293" s="571" t="n"/>
      <c r="F293" s="571" t="n"/>
      <c r="G293" s="533" t="n"/>
      <c r="H293" s="533" t="n"/>
    </row>
    <row r="294" ht="24" customHeight="1">
      <c r="A294" s="539" t="n"/>
      <c r="B294" s="533" t="n"/>
      <c r="C294" s="533" t="n"/>
      <c r="D294" s="575" t="n"/>
      <c r="E294" s="571" t="n"/>
      <c r="F294" s="571" t="n"/>
      <c r="G294" s="533" t="n"/>
      <c r="H294" s="533" t="n"/>
    </row>
    <row r="295" ht="24" customHeight="1">
      <c r="A295" s="539" t="n"/>
      <c r="B295" s="533" t="n"/>
      <c r="C295" s="533" t="n"/>
      <c r="D295" s="575" t="n"/>
      <c r="E295" s="571" t="n"/>
      <c r="F295" s="571" t="n"/>
      <c r="G295" s="533" t="n"/>
      <c r="H295" s="533" t="n"/>
    </row>
    <row r="296" ht="24" customHeight="1">
      <c r="A296" s="539" t="n"/>
      <c r="B296" s="533" t="n"/>
      <c r="C296" s="533" t="n"/>
      <c r="D296" s="575" t="n"/>
      <c r="E296" s="571" t="n"/>
      <c r="F296" s="571" t="n"/>
      <c r="G296" s="533" t="n"/>
      <c r="H296" s="533" t="n"/>
    </row>
    <row r="297" ht="24" customHeight="1">
      <c r="A297" s="539" t="n"/>
      <c r="B297" s="533" t="n"/>
      <c r="C297" s="533" t="n"/>
      <c r="D297" s="575" t="n"/>
      <c r="E297" s="571" t="n"/>
      <c r="F297" s="571" t="n"/>
      <c r="G297" s="533" t="n"/>
      <c r="H297" s="533" t="n"/>
    </row>
    <row r="298" ht="24" customHeight="1">
      <c r="A298" s="539" t="n"/>
      <c r="B298" s="533" t="n"/>
      <c r="C298" s="533" t="n"/>
      <c r="D298" s="575" t="n"/>
      <c r="E298" s="571" t="n"/>
      <c r="F298" s="571" t="n"/>
      <c r="G298" s="533" t="n"/>
      <c r="H298" s="533" t="n"/>
    </row>
    <row r="299" ht="24" customHeight="1">
      <c r="A299" s="539" t="n"/>
      <c r="B299" s="533" t="n"/>
      <c r="C299" s="533" t="n"/>
      <c r="D299" s="575" t="n"/>
      <c r="E299" s="571" t="n"/>
      <c r="F299" s="571" t="n"/>
      <c r="G299" s="533" t="n"/>
      <c r="H299" s="533" t="n"/>
    </row>
    <row r="300" ht="24" customHeight="1">
      <c r="A300" s="539" t="n"/>
      <c r="B300" s="533" t="n"/>
      <c r="C300" s="533" t="n"/>
      <c r="D300" s="575" t="n"/>
      <c r="E300" s="571" t="n"/>
      <c r="F300" s="571" t="n"/>
      <c r="G300" s="533" t="n"/>
      <c r="H300" s="533" t="n"/>
    </row>
    <row r="301" ht="24" customHeight="1">
      <c r="A301" s="539" t="n"/>
      <c r="B301" s="533" t="n"/>
      <c r="C301" s="533" t="n"/>
      <c r="D301" s="575" t="n"/>
      <c r="E301" s="571" t="n"/>
      <c r="F301" s="571" t="n"/>
      <c r="G301" s="533" t="n"/>
      <c r="H301" s="533" t="n"/>
    </row>
    <row r="302" ht="24" customHeight="1">
      <c r="A302" s="539" t="n"/>
      <c r="B302" s="533" t="n"/>
      <c r="C302" s="533" t="n"/>
      <c r="D302" s="575" t="n"/>
      <c r="E302" s="571" t="n"/>
      <c r="F302" s="571" t="n"/>
      <c r="G302" s="533" t="n"/>
      <c r="H302" s="533" t="n"/>
    </row>
    <row r="303" ht="24" customHeight="1">
      <c r="A303" s="539" t="n"/>
      <c r="B303" s="533" t="n"/>
      <c r="C303" s="533" t="n"/>
      <c r="D303" s="575" t="n"/>
      <c r="E303" s="571" t="n"/>
      <c r="F303" s="571" t="n"/>
      <c r="G303" s="533" t="n"/>
      <c r="H303" s="533" t="n"/>
    </row>
    <row r="304" ht="24" customHeight="1">
      <c r="A304" s="539" t="n"/>
      <c r="B304" s="533" t="n"/>
      <c r="C304" s="533" t="n"/>
      <c r="D304" s="575" t="n"/>
      <c r="E304" s="571" t="n"/>
      <c r="F304" s="571" t="n"/>
      <c r="G304" s="533" t="n"/>
      <c r="H304" s="533" t="n"/>
    </row>
    <row r="305" ht="24" customHeight="1">
      <c r="A305" s="539" t="n"/>
      <c r="B305" s="533" t="n"/>
      <c r="C305" s="533" t="n"/>
      <c r="D305" s="575" t="n"/>
      <c r="E305" s="571" t="n"/>
      <c r="F305" s="571" t="n"/>
      <c r="G305" s="533" t="n"/>
      <c r="H305" s="533" t="n"/>
    </row>
    <row r="306" ht="24" customHeight="1">
      <c r="A306" s="539" t="n"/>
      <c r="B306" s="533" t="n"/>
      <c r="C306" s="533" t="n"/>
      <c r="D306" s="575" t="n"/>
      <c r="E306" s="571" t="n"/>
      <c r="F306" s="571" t="n"/>
      <c r="G306" s="533" t="n"/>
      <c r="H306" s="533" t="n"/>
    </row>
    <row r="307" ht="24" customHeight="1">
      <c r="A307" s="539" t="n"/>
      <c r="B307" s="533" t="n"/>
      <c r="C307" s="533" t="n"/>
      <c r="D307" s="575" t="n"/>
      <c r="E307" s="571" t="n"/>
      <c r="F307" s="571" t="n"/>
      <c r="G307" s="533" t="n"/>
      <c r="H307" s="533" t="n"/>
    </row>
    <row r="308" ht="24" customHeight="1">
      <c r="A308" s="539" t="n"/>
      <c r="B308" s="533" t="n"/>
      <c r="C308" s="533" t="n"/>
      <c r="D308" s="575" t="n"/>
      <c r="E308" s="571" t="n"/>
      <c r="F308" s="571" t="n"/>
      <c r="G308" s="533" t="n"/>
      <c r="H308" s="533" t="n"/>
    </row>
    <row r="309" ht="24" customHeight="1">
      <c r="A309" s="539" t="n"/>
      <c r="B309" s="533" t="n"/>
      <c r="C309" s="533" t="n"/>
      <c r="D309" s="575" t="n"/>
      <c r="E309" s="571" t="n"/>
      <c r="F309" s="571" t="n"/>
      <c r="G309" s="533" t="n"/>
      <c r="H309" s="533" t="n"/>
    </row>
    <row r="310" ht="24" customHeight="1">
      <c r="A310" s="539" t="n"/>
      <c r="B310" s="533" t="n"/>
      <c r="C310" s="533" t="n"/>
      <c r="D310" s="575" t="n"/>
      <c r="E310" s="571" t="n"/>
      <c r="F310" s="571" t="n"/>
      <c r="G310" s="533" t="n"/>
      <c r="H310" s="533" t="n"/>
    </row>
    <row r="311" ht="24" customHeight="1">
      <c r="A311" s="539" t="n"/>
      <c r="B311" s="533" t="n"/>
      <c r="C311" s="533" t="n"/>
      <c r="D311" s="575" t="n"/>
      <c r="E311" s="571" t="n"/>
      <c r="F311" s="571" t="n"/>
      <c r="G311" s="533" t="n"/>
      <c r="H311" s="533" t="n"/>
    </row>
    <row r="312" ht="24" customHeight="1">
      <c r="A312" s="539" t="n"/>
      <c r="B312" s="533" t="n"/>
      <c r="C312" s="533" t="n"/>
      <c r="D312" s="575" t="n"/>
      <c r="E312" s="571" t="n"/>
      <c r="F312" s="571" t="n"/>
      <c r="G312" s="533" t="n"/>
      <c r="H312" s="533" t="n"/>
    </row>
    <row r="313" ht="24" customHeight="1">
      <c r="A313" s="539" t="n"/>
      <c r="B313" s="533" t="n"/>
      <c r="C313" s="533" t="n"/>
      <c r="D313" s="575" t="n"/>
      <c r="E313" s="571" t="n"/>
      <c r="F313" s="571" t="n"/>
      <c r="G313" s="533" t="n"/>
      <c r="H313" s="533" t="n"/>
    </row>
    <row r="314" ht="24" customHeight="1">
      <c r="A314" s="539" t="n"/>
      <c r="B314" s="533" t="n"/>
      <c r="C314" s="533" t="n"/>
      <c r="D314" s="575" t="n"/>
      <c r="E314" s="571" t="n"/>
      <c r="F314" s="571" t="n"/>
      <c r="G314" s="533" t="n"/>
      <c r="H314" s="533" t="n"/>
    </row>
    <row r="315" ht="24" customHeight="1">
      <c r="A315" s="539" t="n"/>
      <c r="B315" s="533" t="n"/>
      <c r="C315" s="533" t="n"/>
      <c r="D315" s="575" t="n"/>
      <c r="E315" s="571" t="n"/>
      <c r="F315" s="571" t="n"/>
      <c r="G315" s="533" t="n"/>
      <c r="H315" s="533" t="n"/>
    </row>
    <row r="316" ht="24" customHeight="1">
      <c r="A316" s="539" t="n"/>
      <c r="B316" s="533" t="n"/>
      <c r="C316" s="533" t="n"/>
      <c r="D316" s="575" t="n"/>
      <c r="E316" s="571" t="n"/>
      <c r="F316" s="571" t="n"/>
      <c r="G316" s="533" t="n"/>
      <c r="H316" s="533" t="n"/>
    </row>
    <row r="317" ht="24" customHeight="1">
      <c r="A317" s="539" t="n"/>
      <c r="B317" s="533" t="n"/>
      <c r="C317" s="533" t="n"/>
      <c r="D317" s="575" t="n"/>
      <c r="E317" s="571" t="n"/>
      <c r="F317" s="571" t="n"/>
      <c r="G317" s="533" t="n"/>
      <c r="H317" s="533" t="n"/>
    </row>
    <row r="318" ht="24" customHeight="1">
      <c r="A318" s="539" t="n"/>
      <c r="B318" s="533" t="n"/>
      <c r="C318" s="533" t="n"/>
      <c r="D318" s="575" t="n"/>
      <c r="E318" s="571" t="n"/>
      <c r="F318" s="571" t="n"/>
      <c r="G318" s="533" t="n"/>
      <c r="H318" s="533" t="n"/>
    </row>
    <row r="319" ht="24" customHeight="1">
      <c r="A319" s="539" t="n"/>
      <c r="B319" s="533" t="n"/>
      <c r="C319" s="533" t="n"/>
      <c r="D319" s="575" t="n"/>
      <c r="E319" s="571" t="n"/>
      <c r="F319" s="571" t="n"/>
      <c r="G319" s="533" t="n"/>
      <c r="H319" s="533" t="n"/>
    </row>
    <row r="320" ht="24" customHeight="1">
      <c r="A320" s="539" t="n"/>
      <c r="B320" s="533" t="n"/>
      <c r="C320" s="533" t="n"/>
      <c r="D320" s="575" t="n"/>
      <c r="E320" s="571" t="n"/>
      <c r="F320" s="571" t="n"/>
      <c r="G320" s="533" t="n"/>
      <c r="H320" s="533" t="n"/>
    </row>
    <row r="321" ht="24" customHeight="1">
      <c r="A321" s="539" t="n"/>
      <c r="B321" s="533" t="n"/>
      <c r="C321" s="533" t="n"/>
      <c r="D321" s="575" t="n"/>
      <c r="E321" s="571" t="n"/>
      <c r="F321" s="571" t="n"/>
      <c r="G321" s="533" t="n"/>
      <c r="H321" s="533" t="n"/>
    </row>
    <row r="322" ht="24" customHeight="1">
      <c r="A322" s="539" t="n"/>
      <c r="B322" s="533" t="n"/>
      <c r="C322" s="533" t="n"/>
      <c r="D322" s="575" t="n"/>
      <c r="E322" s="571" t="n"/>
      <c r="F322" s="571" t="n"/>
      <c r="G322" s="533" t="n"/>
      <c r="H322" s="533" t="n"/>
    </row>
    <row r="323" ht="24" customHeight="1">
      <c r="A323" s="539" t="n"/>
      <c r="B323" s="533" t="n"/>
      <c r="C323" s="533" t="n"/>
      <c r="D323" s="575" t="n"/>
      <c r="E323" s="571" t="n"/>
      <c r="F323" s="571" t="n"/>
      <c r="G323" s="533" t="n"/>
      <c r="H323" s="533" t="n"/>
    </row>
    <row r="324" ht="24" customHeight="1">
      <c r="A324" s="539" t="n"/>
      <c r="B324" s="533" t="n"/>
      <c r="C324" s="533" t="n"/>
      <c r="D324" s="575" t="n"/>
      <c r="E324" s="571" t="n"/>
      <c r="F324" s="571" t="n"/>
      <c r="G324" s="533" t="n"/>
      <c r="H324" s="533" t="n"/>
    </row>
    <row r="325" ht="24" customHeight="1">
      <c r="A325" s="539" t="n"/>
      <c r="B325" s="533" t="n"/>
      <c r="C325" s="533" t="n"/>
      <c r="D325" s="575" t="n"/>
      <c r="E325" s="571" t="n"/>
      <c r="F325" s="571" t="n"/>
      <c r="G325" s="533" t="n"/>
      <c r="H325" s="533" t="n"/>
    </row>
    <row r="326" ht="24" customHeight="1">
      <c r="A326" s="539" t="n"/>
      <c r="B326" s="533" t="n"/>
      <c r="C326" s="533" t="n"/>
      <c r="D326" s="575" t="n"/>
      <c r="E326" s="571" t="n"/>
      <c r="F326" s="571" t="n"/>
      <c r="G326" s="533" t="n"/>
      <c r="H326" s="533" t="n"/>
    </row>
    <row r="327" ht="24" customHeight="1">
      <c r="A327" s="539" t="n"/>
      <c r="B327" s="533" t="n"/>
      <c r="C327" s="533" t="n"/>
      <c r="D327" s="575" t="n"/>
      <c r="E327" s="571" t="n"/>
      <c r="F327" s="571" t="n"/>
      <c r="G327" s="533" t="n"/>
      <c r="H327" s="533" t="n"/>
    </row>
    <row r="328" ht="24" customHeight="1">
      <c r="A328" s="539" t="n"/>
      <c r="B328" s="533" t="n"/>
      <c r="C328" s="533" t="n"/>
      <c r="D328" s="575" t="n"/>
      <c r="E328" s="571" t="n"/>
      <c r="F328" s="571" t="n"/>
      <c r="G328" s="533" t="n"/>
      <c r="H328" s="533" t="n"/>
    </row>
    <row r="329" ht="24" customHeight="1">
      <c r="A329" s="539" t="n"/>
      <c r="B329" s="533" t="n"/>
      <c r="C329" s="533" t="n"/>
      <c r="D329" s="575" t="n"/>
      <c r="E329" s="571" t="n"/>
      <c r="F329" s="571" t="n"/>
      <c r="G329" s="533" t="n"/>
      <c r="H329" s="533" t="n"/>
    </row>
    <row r="330" ht="24" customHeight="1">
      <c r="A330" s="539" t="n"/>
      <c r="B330" s="533" t="n"/>
      <c r="C330" s="533" t="n"/>
      <c r="D330" s="575" t="n"/>
      <c r="E330" s="571" t="n"/>
      <c r="F330" s="571" t="n"/>
      <c r="G330" s="533" t="n"/>
      <c r="H330" s="533" t="n"/>
    </row>
    <row r="331" ht="24" customHeight="1">
      <c r="A331" s="539" t="n"/>
      <c r="B331" s="533" t="n"/>
      <c r="C331" s="533" t="n"/>
      <c r="D331" s="575" t="n"/>
      <c r="E331" s="571" t="n"/>
      <c r="F331" s="571" t="n"/>
      <c r="G331" s="533" t="n"/>
      <c r="H331" s="533" t="n"/>
    </row>
    <row r="332" ht="24" customHeight="1">
      <c r="A332" s="539" t="n"/>
      <c r="B332" s="533" t="n"/>
      <c r="C332" s="533" t="n"/>
      <c r="D332" s="575" t="n"/>
      <c r="E332" s="571" t="n"/>
      <c r="F332" s="571" t="n"/>
      <c r="G332" s="533" t="n"/>
      <c r="H332" s="533" t="n"/>
    </row>
    <row r="333" ht="24" customHeight="1">
      <c r="A333" s="539" t="n"/>
      <c r="B333" s="533" t="n"/>
      <c r="C333" s="533" t="n"/>
      <c r="D333" s="575" t="n"/>
      <c r="E333" s="571" t="n"/>
      <c r="F333" s="571" t="n"/>
      <c r="G333" s="533" t="n"/>
      <c r="H333" s="533" t="n"/>
    </row>
    <row r="334" ht="24" customHeight="1">
      <c r="A334" s="539" t="n"/>
      <c r="B334" s="533" t="n"/>
      <c r="C334" s="533" t="n"/>
      <c r="D334" s="575" t="n"/>
      <c r="E334" s="571" t="n"/>
      <c r="F334" s="571" t="n"/>
      <c r="G334" s="533" t="n"/>
      <c r="H334" s="533" t="n"/>
    </row>
    <row r="335" ht="24" customHeight="1">
      <c r="A335" s="539" t="n"/>
      <c r="B335" s="533" t="n"/>
      <c r="C335" s="533" t="n"/>
      <c r="D335" s="575" t="n"/>
      <c r="E335" s="571" t="n"/>
      <c r="F335" s="571" t="n"/>
      <c r="G335" s="533" t="n"/>
      <c r="H335" s="533" t="n"/>
    </row>
    <row r="336" ht="24" customHeight="1">
      <c r="A336" s="539" t="n"/>
      <c r="B336" s="533" t="n"/>
      <c r="C336" s="533" t="n"/>
      <c r="D336" s="575" t="n"/>
      <c r="E336" s="571" t="n"/>
      <c r="F336" s="571" t="n"/>
      <c r="G336" s="533" t="n"/>
      <c r="H336" s="533" t="n"/>
    </row>
    <row r="337" ht="24" customHeight="1">
      <c r="A337" s="539" t="n"/>
      <c r="B337" s="533" t="n"/>
      <c r="C337" s="533" t="n"/>
      <c r="D337" s="575" t="n"/>
      <c r="E337" s="571" t="n"/>
      <c r="F337" s="571" t="n"/>
      <c r="G337" s="533" t="n"/>
      <c r="H337" s="533" t="n"/>
    </row>
    <row r="338" ht="24" customHeight="1">
      <c r="A338" s="539" t="n"/>
      <c r="B338" s="533" t="n"/>
      <c r="C338" s="533" t="n"/>
      <c r="D338" s="575" t="n"/>
      <c r="E338" s="571" t="n"/>
      <c r="F338" s="571" t="n"/>
      <c r="G338" s="533" t="n"/>
      <c r="H338" s="533" t="n"/>
    </row>
    <row r="339" ht="24" customHeight="1">
      <c r="A339" s="539" t="n"/>
      <c r="B339" s="533" t="n"/>
      <c r="C339" s="533" t="n"/>
      <c r="D339" s="575" t="n"/>
      <c r="E339" s="571" t="n"/>
      <c r="F339" s="571" t="n"/>
      <c r="G339" s="533" t="n"/>
      <c r="H339" s="533" t="n"/>
    </row>
    <row r="340" ht="24" customHeight="1">
      <c r="A340" s="539" t="n"/>
      <c r="B340" s="533" t="n"/>
      <c r="C340" s="533" t="n"/>
      <c r="D340" s="575" t="n"/>
      <c r="E340" s="571" t="n"/>
      <c r="F340" s="571" t="n"/>
      <c r="G340" s="533" t="n"/>
      <c r="H340" s="533" t="n"/>
    </row>
    <row r="341" ht="24" customHeight="1">
      <c r="A341" s="539" t="n"/>
      <c r="B341" s="533" t="n"/>
      <c r="C341" s="533" t="n"/>
      <c r="D341" s="575" t="n"/>
      <c r="E341" s="571" t="n"/>
      <c r="F341" s="571" t="n"/>
      <c r="G341" s="533" t="n"/>
      <c r="H341" s="533" t="n"/>
    </row>
    <row r="342" ht="24" customHeight="1">
      <c r="A342" s="539" t="n"/>
      <c r="B342" s="533" t="n"/>
      <c r="C342" s="533" t="n"/>
      <c r="D342" s="575" t="n"/>
      <c r="E342" s="571" t="n"/>
      <c r="F342" s="571" t="n"/>
      <c r="G342" s="533" t="n"/>
      <c r="H342" s="533" t="n"/>
    </row>
    <row r="343" ht="24" customHeight="1">
      <c r="A343" s="539" t="n"/>
      <c r="B343" s="533" t="n"/>
      <c r="C343" s="533" t="n"/>
      <c r="D343" s="575" t="n"/>
      <c r="E343" s="571" t="n"/>
      <c r="F343" s="571" t="n"/>
      <c r="G343" s="533" t="n"/>
      <c r="H343" s="533" t="n"/>
    </row>
    <row r="344" ht="24" customHeight="1">
      <c r="A344" s="539" t="n"/>
      <c r="B344" s="533" t="n"/>
      <c r="C344" s="533" t="n"/>
      <c r="D344" s="575" t="n"/>
      <c r="E344" s="571" t="n"/>
      <c r="F344" s="571" t="n"/>
      <c r="G344" s="533" t="n"/>
      <c r="H344" s="533" t="n"/>
    </row>
    <row r="345" ht="24" customHeight="1">
      <c r="A345" s="539" t="n"/>
      <c r="B345" s="533" t="n"/>
      <c r="C345" s="533" t="n"/>
      <c r="D345" s="575" t="n"/>
      <c r="E345" s="571" t="n"/>
      <c r="F345" s="571" t="n"/>
      <c r="G345" s="533" t="n"/>
      <c r="H345" s="533" t="n"/>
    </row>
    <row r="346" ht="24" customHeight="1">
      <c r="A346" s="539" t="n"/>
      <c r="B346" s="533" t="n"/>
      <c r="C346" s="533" t="n"/>
      <c r="D346" s="575" t="n"/>
      <c r="E346" s="571" t="n"/>
      <c r="F346" s="571" t="n"/>
      <c r="G346" s="533" t="n"/>
      <c r="H346" s="533" t="n"/>
    </row>
    <row r="347" ht="24" customHeight="1">
      <c r="A347" s="539" t="n"/>
      <c r="B347" s="533" t="n"/>
      <c r="C347" s="533" t="n"/>
      <c r="D347" s="575" t="n"/>
      <c r="E347" s="571" t="n"/>
      <c r="F347" s="571" t="n"/>
      <c r="G347" s="533" t="n"/>
      <c r="H347" s="533" t="n"/>
    </row>
    <row r="348" ht="24" customHeight="1">
      <c r="A348" s="539" t="n"/>
      <c r="B348" s="533" t="n"/>
      <c r="C348" s="533" t="n"/>
      <c r="D348" s="575" t="n"/>
      <c r="E348" s="571" t="n"/>
      <c r="F348" s="571" t="n"/>
      <c r="G348" s="533" t="n"/>
      <c r="H348" s="533" t="n"/>
    </row>
    <row r="349" ht="24" customHeight="1">
      <c r="A349" s="539" t="n"/>
      <c r="B349" s="533" t="n"/>
      <c r="C349" s="533" t="n"/>
      <c r="D349" s="575" t="n"/>
      <c r="E349" s="571" t="n"/>
      <c r="F349" s="571" t="n"/>
      <c r="G349" s="533" t="n"/>
      <c r="H349" s="533" t="n"/>
    </row>
    <row r="350" ht="24" customHeight="1">
      <c r="A350" s="539" t="n"/>
      <c r="B350" s="533" t="n"/>
      <c r="C350" s="533" t="n"/>
      <c r="D350" s="575" t="n"/>
      <c r="E350" s="571" t="n"/>
      <c r="F350" s="571" t="n"/>
      <c r="G350" s="533" t="n"/>
      <c r="H350" s="533" t="n"/>
    </row>
    <row r="351" ht="24" customHeight="1">
      <c r="A351" s="539" t="n"/>
      <c r="B351" s="533" t="n"/>
      <c r="C351" s="533" t="n"/>
      <c r="D351" s="575" t="n"/>
      <c r="E351" s="571" t="n"/>
      <c r="F351" s="571" t="n"/>
      <c r="G351" s="533" t="n"/>
      <c r="H351" s="533" t="n"/>
    </row>
    <row r="352" ht="24" customHeight="1">
      <c r="A352" s="539" t="n"/>
      <c r="B352" s="533" t="n"/>
      <c r="C352" s="533" t="n"/>
      <c r="D352" s="575" t="n"/>
      <c r="E352" s="571" t="n"/>
      <c r="F352" s="571" t="n"/>
      <c r="G352" s="533" t="n"/>
      <c r="H352" s="533" t="n"/>
    </row>
    <row r="353" ht="24" customHeight="1">
      <c r="A353" s="539" t="n"/>
      <c r="B353" s="533" t="n"/>
      <c r="C353" s="533" t="n"/>
      <c r="D353" s="575" t="n"/>
      <c r="E353" s="571" t="n"/>
      <c r="F353" s="571" t="n"/>
      <c r="G353" s="533" t="n"/>
      <c r="H353" s="533" t="n"/>
    </row>
    <row r="354" ht="24" customHeight="1">
      <c r="A354" s="539" t="n"/>
      <c r="B354" s="533" t="n"/>
      <c r="C354" s="533" t="n"/>
      <c r="D354" s="575" t="n"/>
      <c r="E354" s="571" t="n"/>
      <c r="F354" s="571" t="n"/>
      <c r="G354" s="533" t="n"/>
      <c r="H354" s="533" t="n"/>
    </row>
    <row r="355" ht="24" customHeight="1">
      <c r="A355" s="539" t="n"/>
      <c r="B355" s="533" t="n"/>
      <c r="C355" s="533" t="n"/>
      <c r="D355" s="575" t="n"/>
      <c r="E355" s="571" t="n"/>
      <c r="F355" s="571" t="n"/>
      <c r="G355" s="533" t="n"/>
      <c r="H355" s="533" t="n"/>
    </row>
    <row r="356" ht="24" customHeight="1">
      <c r="A356" s="539" t="n"/>
      <c r="B356" s="533" t="n"/>
      <c r="C356" s="533" t="n"/>
      <c r="D356" s="575" t="n"/>
      <c r="E356" s="571" t="n"/>
      <c r="F356" s="571" t="n"/>
      <c r="G356" s="533" t="n"/>
      <c r="H356" s="533" t="n"/>
    </row>
    <row r="357" ht="24" customHeight="1">
      <c r="A357" s="539" t="n"/>
      <c r="B357" s="533" t="n"/>
      <c r="C357" s="533" t="n"/>
      <c r="D357" s="575" t="n"/>
      <c r="E357" s="571" t="n"/>
      <c r="F357" s="571" t="n"/>
      <c r="G357" s="533" t="n"/>
      <c r="H357" s="533" t="n"/>
    </row>
    <row r="358" ht="24" customHeight="1">
      <c r="A358" s="539" t="n"/>
      <c r="B358" s="533" t="n"/>
      <c r="C358" s="533" t="n"/>
      <c r="D358" s="575" t="n"/>
      <c r="E358" s="571" t="n"/>
      <c r="F358" s="571" t="n"/>
      <c r="G358" s="533" t="n"/>
      <c r="H358" s="533" t="n"/>
    </row>
    <row r="359" ht="24" customHeight="1">
      <c r="A359" s="539" t="n"/>
      <c r="B359" s="533" t="n"/>
      <c r="C359" s="533" t="n"/>
      <c r="D359" s="575" t="n"/>
      <c r="E359" s="571" t="n"/>
      <c r="F359" s="571" t="n"/>
      <c r="G359" s="533" t="n"/>
      <c r="H359" s="533" t="n"/>
    </row>
    <row r="360" ht="24" customHeight="1">
      <c r="A360" s="539" t="n"/>
      <c r="B360" s="533" t="n"/>
      <c r="C360" s="533" t="n"/>
      <c r="D360" s="575" t="n"/>
      <c r="E360" s="571" t="n"/>
      <c r="F360" s="571" t="n"/>
      <c r="G360" s="533" t="n"/>
      <c r="H360" s="533" t="n"/>
    </row>
    <row r="361" ht="24" customHeight="1">
      <c r="A361" s="539" t="n"/>
      <c r="B361" s="533" t="n"/>
      <c r="C361" s="533" t="n"/>
      <c r="D361" s="575" t="n"/>
      <c r="E361" s="571" t="n"/>
      <c r="F361" s="571" t="n"/>
      <c r="G361" s="533" t="n"/>
      <c r="H361" s="533" t="n"/>
    </row>
    <row r="362" ht="24" customHeight="1">
      <c r="A362" s="539" t="n"/>
      <c r="B362" s="533" t="n"/>
      <c r="C362" s="533" t="n"/>
      <c r="D362" s="575" t="n"/>
      <c r="E362" s="571" t="n"/>
      <c r="F362" s="571" t="n"/>
      <c r="G362" s="533" t="n"/>
      <c r="H362" s="533" t="n"/>
    </row>
    <row r="363" ht="24" customHeight="1">
      <c r="A363" s="539" t="n"/>
      <c r="B363" s="533" t="n"/>
      <c r="C363" s="533" t="n"/>
      <c r="D363" s="575" t="n"/>
      <c r="E363" s="571" t="n"/>
      <c r="F363" s="571" t="n"/>
      <c r="G363" s="533" t="n"/>
      <c r="H363" s="533" t="n"/>
    </row>
    <row r="364" ht="24" customHeight="1">
      <c r="A364" s="539" t="n"/>
      <c r="B364" s="533" t="n"/>
      <c r="C364" s="533" t="n"/>
      <c r="D364" s="575" t="n"/>
      <c r="E364" s="571" t="n"/>
      <c r="F364" s="571" t="n"/>
      <c r="G364" s="533" t="n"/>
      <c r="H364" s="533" t="n"/>
    </row>
    <row r="365" ht="24" customHeight="1">
      <c r="A365" s="539" t="n"/>
      <c r="B365" s="533" t="n"/>
      <c r="C365" s="533" t="n"/>
      <c r="D365" s="575" t="n"/>
      <c r="E365" s="571" t="n"/>
      <c r="F365" s="571" t="n"/>
      <c r="G365" s="533" t="n"/>
      <c r="H365" s="533" t="n"/>
    </row>
    <row r="366" ht="24" customHeight="1">
      <c r="A366" s="539" t="n"/>
      <c r="B366" s="533" t="n"/>
      <c r="C366" s="533" t="n"/>
      <c r="D366" s="575" t="n"/>
      <c r="E366" s="571" t="n"/>
      <c r="F366" s="571" t="n"/>
      <c r="G366" s="533" t="n"/>
      <c r="H366" s="533" t="n"/>
    </row>
    <row r="367" ht="24" customHeight="1">
      <c r="A367" s="539" t="n"/>
      <c r="B367" s="533" t="n"/>
      <c r="C367" s="533" t="n"/>
      <c r="D367" s="575" t="n"/>
      <c r="E367" s="571" t="n"/>
      <c r="F367" s="571" t="n"/>
      <c r="G367" s="533" t="n"/>
      <c r="H367" s="533" t="n"/>
    </row>
    <row r="368" ht="24" customHeight="1">
      <c r="A368" s="539" t="n"/>
      <c r="B368" s="533" t="n"/>
      <c r="C368" s="533" t="n"/>
      <c r="D368" s="575" t="n"/>
      <c r="E368" s="571" t="n"/>
      <c r="F368" s="571" t="n"/>
      <c r="G368" s="533" t="n"/>
      <c r="H368" s="533" t="n"/>
    </row>
    <row r="369" ht="24" customHeight="1">
      <c r="A369" s="539" t="n"/>
      <c r="B369" s="533" t="n"/>
      <c r="C369" s="533" t="n"/>
      <c r="D369" s="575" t="n"/>
      <c r="E369" s="571" t="n"/>
      <c r="F369" s="571" t="n"/>
      <c r="G369" s="533" t="n"/>
      <c r="H369" s="533" t="n"/>
    </row>
    <row r="370" ht="24" customHeight="1">
      <c r="A370" s="539" t="n"/>
      <c r="B370" s="533" t="n"/>
      <c r="C370" s="533" t="n"/>
      <c r="D370" s="575" t="n"/>
      <c r="E370" s="571" t="n"/>
      <c r="F370" s="571" t="n"/>
      <c r="G370" s="533" t="n"/>
      <c r="H370" s="533" t="n"/>
    </row>
    <row r="371" ht="24" customHeight="1">
      <c r="A371" s="539" t="n"/>
      <c r="B371" s="533" t="n"/>
      <c r="C371" s="533" t="n"/>
      <c r="D371" s="575" t="n"/>
      <c r="E371" s="571" t="n"/>
      <c r="F371" s="571" t="n"/>
      <c r="G371" s="533" t="n"/>
      <c r="H371" s="533" t="n"/>
    </row>
    <row r="372" ht="24" customHeight="1">
      <c r="A372" s="539" t="n"/>
      <c r="B372" s="533" t="n"/>
      <c r="C372" s="533" t="n"/>
      <c r="D372" s="575" t="n"/>
      <c r="E372" s="571" t="n"/>
      <c r="F372" s="571" t="n"/>
      <c r="G372" s="533" t="n"/>
      <c r="H372" s="533" t="n"/>
    </row>
    <row r="373" ht="24" customHeight="1">
      <c r="A373" s="539" t="n"/>
      <c r="B373" s="533" t="n"/>
      <c r="C373" s="533" t="n"/>
      <c r="D373" s="575" t="n"/>
      <c r="E373" s="571" t="n"/>
      <c r="F373" s="571" t="n"/>
      <c r="G373" s="533" t="n"/>
      <c r="H373" s="533" t="n"/>
    </row>
    <row r="374" ht="24" customHeight="1">
      <c r="A374" s="539" t="n"/>
      <c r="B374" s="533" t="n"/>
      <c r="C374" s="533" t="n"/>
      <c r="D374" s="575" t="n"/>
      <c r="E374" s="571" t="n"/>
      <c r="F374" s="571" t="n"/>
      <c r="G374" s="533" t="n"/>
      <c r="H374" s="533" t="n"/>
    </row>
    <row r="375" ht="24" customHeight="1">
      <c r="A375" s="539" t="n"/>
      <c r="B375" s="533" t="n"/>
      <c r="C375" s="533" t="n"/>
      <c r="D375" s="575" t="n"/>
      <c r="E375" s="571" t="n"/>
      <c r="F375" s="571" t="n"/>
      <c r="G375" s="533" t="n"/>
      <c r="H375" s="533" t="n"/>
    </row>
    <row r="376" ht="24" customHeight="1">
      <c r="A376" s="539" t="n"/>
      <c r="B376" s="533" t="n"/>
      <c r="C376" s="533" t="n"/>
      <c r="D376" s="575" t="n"/>
      <c r="E376" s="571" t="n"/>
      <c r="F376" s="571" t="n"/>
      <c r="G376" s="533" t="n"/>
      <c r="H376" s="533" t="n"/>
    </row>
    <row r="377" ht="24" customHeight="1">
      <c r="A377" s="539" t="n"/>
      <c r="B377" s="533" t="n"/>
      <c r="C377" s="533" t="n"/>
      <c r="D377" s="575" t="n"/>
      <c r="E377" s="571" t="n"/>
      <c r="F377" s="571" t="n"/>
      <c r="G377" s="533" t="n"/>
      <c r="H377" s="533" t="n"/>
    </row>
    <row r="378" ht="24" customHeight="1">
      <c r="A378" s="539" t="n"/>
      <c r="B378" s="533" t="n"/>
      <c r="C378" s="533" t="n"/>
      <c r="D378" s="575" t="n"/>
      <c r="E378" s="571" t="n"/>
      <c r="F378" s="571" t="n"/>
      <c r="G378" s="533" t="n"/>
      <c r="H378" s="533" t="n"/>
    </row>
    <row r="379" ht="24" customHeight="1">
      <c r="A379" s="539" t="n"/>
      <c r="B379" s="533" t="n"/>
      <c r="C379" s="533" t="n"/>
      <c r="D379" s="575" t="n"/>
      <c r="E379" s="571" t="n"/>
      <c r="F379" s="571" t="n"/>
      <c r="G379" s="533" t="n"/>
      <c r="H379" s="533" t="n"/>
    </row>
    <row r="380" ht="24" customHeight="1">
      <c r="A380" s="539" t="n"/>
      <c r="B380" s="533" t="n"/>
      <c r="C380" s="533" t="n"/>
      <c r="D380" s="575" t="n"/>
      <c r="E380" s="571" t="n"/>
      <c r="F380" s="571" t="n"/>
      <c r="G380" s="533" t="n"/>
      <c r="H380" s="533" t="n"/>
    </row>
    <row r="381" ht="24" customHeight="1">
      <c r="A381" s="539" t="n"/>
      <c r="B381" s="533" t="n"/>
      <c r="C381" s="533" t="n"/>
      <c r="D381" s="575" t="n"/>
      <c r="E381" s="571" t="n"/>
      <c r="F381" s="571" t="n"/>
      <c r="G381" s="533" t="n"/>
      <c r="H381" s="533" t="n"/>
    </row>
    <row r="382" ht="24" customHeight="1">
      <c r="A382" s="539" t="n"/>
      <c r="B382" s="533" t="n"/>
      <c r="C382" s="533" t="n"/>
      <c r="D382" s="575" t="n"/>
      <c r="E382" s="571" t="n"/>
      <c r="F382" s="571" t="n"/>
      <c r="G382" s="533" t="n"/>
      <c r="H382" s="533" t="n"/>
    </row>
    <row r="383" ht="24" customHeight="1">
      <c r="A383" s="539" t="n"/>
      <c r="B383" s="533" t="n"/>
      <c r="C383" s="533" t="n"/>
      <c r="D383" s="575" t="n"/>
      <c r="E383" s="571" t="n"/>
      <c r="F383" s="571" t="n"/>
      <c r="G383" s="533" t="n"/>
      <c r="H383" s="533" t="n"/>
    </row>
    <row r="384" ht="24" customHeight="1">
      <c r="A384" s="539" t="n"/>
      <c r="B384" s="533" t="n"/>
      <c r="C384" s="533" t="n"/>
      <c r="D384" s="575" t="n"/>
      <c r="E384" s="571" t="n"/>
      <c r="F384" s="571" t="n"/>
      <c r="G384" s="533" t="n"/>
      <c r="H384" s="533" t="n"/>
    </row>
    <row r="385" ht="24" customHeight="1">
      <c r="A385" s="539" t="n"/>
      <c r="B385" s="533" t="n"/>
      <c r="C385" s="533" t="n"/>
      <c r="D385" s="575" t="n"/>
      <c r="E385" s="571" t="n"/>
      <c r="F385" s="571" t="n"/>
      <c r="G385" s="533" t="n"/>
      <c r="H385" s="533" t="n"/>
    </row>
    <row r="386" ht="24" customHeight="1">
      <c r="A386" s="539" t="n"/>
      <c r="B386" s="533" t="n"/>
      <c r="C386" s="533" t="n"/>
      <c r="D386" s="575" t="n"/>
      <c r="E386" s="571" t="n"/>
      <c r="F386" s="571" t="n"/>
      <c r="G386" s="533" t="n"/>
      <c r="H386" s="533" t="n"/>
    </row>
    <row r="387" ht="24" customHeight="1">
      <c r="A387" s="539" t="n"/>
      <c r="B387" s="533" t="n"/>
      <c r="C387" s="533" t="n"/>
      <c r="D387" s="575" t="n"/>
      <c r="E387" s="571" t="n"/>
      <c r="F387" s="571" t="n"/>
      <c r="G387" s="533" t="n"/>
      <c r="H387" s="533" t="n"/>
    </row>
    <row r="388" ht="24" customHeight="1">
      <c r="A388" s="539" t="n"/>
      <c r="B388" s="533" t="n"/>
      <c r="C388" s="533" t="n"/>
      <c r="D388" s="575" t="n"/>
      <c r="E388" s="571" t="n"/>
      <c r="F388" s="571" t="n"/>
      <c r="G388" s="533" t="n"/>
      <c r="H388" s="533" t="n"/>
    </row>
    <row r="389" ht="24" customHeight="1">
      <c r="A389" s="539" t="n"/>
      <c r="B389" s="533" t="n"/>
      <c r="C389" s="533" t="n"/>
      <c r="D389" s="575" t="n"/>
      <c r="E389" s="571" t="n"/>
      <c r="F389" s="571" t="n"/>
      <c r="G389" s="533" t="n"/>
      <c r="H389" s="533" t="n"/>
    </row>
    <row r="390" ht="24" customHeight="1">
      <c r="A390" s="539" t="n"/>
      <c r="B390" s="533" t="n"/>
      <c r="C390" s="533" t="n"/>
      <c r="D390" s="575" t="n"/>
      <c r="E390" s="571" t="n"/>
      <c r="F390" s="571" t="n"/>
      <c r="G390" s="533" t="n"/>
      <c r="H390" s="533" t="n"/>
    </row>
    <row r="391" ht="24" customHeight="1">
      <c r="A391" s="539" t="n"/>
      <c r="B391" s="533" t="n"/>
      <c r="C391" s="533" t="n"/>
      <c r="D391" s="575" t="n"/>
      <c r="E391" s="571" t="n"/>
      <c r="F391" s="571" t="n"/>
      <c r="G391" s="533" t="n"/>
      <c r="H391" s="533" t="n"/>
    </row>
    <row r="392" ht="24" customHeight="1">
      <c r="A392" s="539" t="n"/>
      <c r="B392" s="533" t="n"/>
      <c r="C392" s="533" t="n"/>
      <c r="D392" s="575" t="n"/>
      <c r="E392" s="571" t="n"/>
      <c r="F392" s="571" t="n"/>
      <c r="G392" s="533" t="n"/>
      <c r="H392" s="533" t="n"/>
    </row>
    <row r="393" ht="24" customHeight="1">
      <c r="A393" s="539" t="n"/>
      <c r="B393" s="533" t="n"/>
      <c r="C393" s="533" t="n"/>
      <c r="D393" s="575" t="n"/>
      <c r="E393" s="571" t="n"/>
      <c r="F393" s="571" t="n"/>
      <c r="G393" s="533" t="n"/>
      <c r="H393" s="533" t="n"/>
    </row>
    <row r="394" ht="24" customHeight="1">
      <c r="A394" s="539" t="n"/>
      <c r="B394" s="533" t="n"/>
      <c r="C394" s="533" t="n"/>
      <c r="D394" s="575" t="n"/>
      <c r="E394" s="571" t="n"/>
      <c r="F394" s="571" t="n"/>
      <c r="G394" s="533" t="n"/>
      <c r="H394" s="533" t="n"/>
    </row>
    <row r="395" ht="24" customHeight="1">
      <c r="A395" s="539" t="n"/>
      <c r="B395" s="533" t="n"/>
      <c r="C395" s="533" t="n"/>
      <c r="D395" s="575" t="n"/>
      <c r="E395" s="571" t="n"/>
      <c r="F395" s="571" t="n"/>
      <c r="G395" s="533" t="n"/>
      <c r="H395" s="533" t="n"/>
    </row>
    <row r="396" ht="24" customHeight="1">
      <c r="A396" s="539" t="n"/>
      <c r="B396" s="533" t="n"/>
      <c r="C396" s="533" t="n"/>
      <c r="D396" s="575" t="n"/>
      <c r="E396" s="571" t="n"/>
      <c r="F396" s="571" t="n"/>
      <c r="G396" s="533" t="n"/>
      <c r="H396" s="533" t="n"/>
    </row>
    <row r="397" ht="24" customHeight="1">
      <c r="A397" s="539" t="n"/>
      <c r="B397" s="533" t="n"/>
      <c r="C397" s="533" t="n"/>
      <c r="D397" s="575" t="n"/>
      <c r="E397" s="571" t="n"/>
      <c r="F397" s="571" t="n"/>
      <c r="G397" s="533" t="n"/>
      <c r="H397" s="533" t="n"/>
    </row>
    <row r="398" ht="24" customHeight="1">
      <c r="A398" s="539" t="n"/>
      <c r="B398" s="533" t="n"/>
      <c r="C398" s="533" t="n"/>
      <c r="D398" s="575" t="n"/>
      <c r="E398" s="571" t="n"/>
      <c r="F398" s="571" t="n"/>
      <c r="G398" s="533" t="n"/>
      <c r="H398" s="533" t="n"/>
    </row>
    <row r="399" ht="24" customHeight="1">
      <c r="A399" s="539" t="n"/>
      <c r="B399" s="533" t="n"/>
      <c r="C399" s="533" t="n"/>
      <c r="D399" s="575" t="n"/>
      <c r="E399" s="571" t="n"/>
      <c r="F399" s="571" t="n"/>
      <c r="G399" s="533" t="n"/>
      <c r="H399" s="533" t="n"/>
    </row>
    <row r="400" ht="24" customHeight="1">
      <c r="A400" s="539" t="n"/>
      <c r="B400" s="533" t="n"/>
      <c r="C400" s="533" t="n"/>
      <c r="D400" s="575" t="n"/>
      <c r="E400" s="571" t="n"/>
      <c r="F400" s="571" t="n"/>
      <c r="G400" s="533" t="n"/>
      <c r="H400" s="533" t="n"/>
    </row>
    <row r="401" ht="24" customHeight="1">
      <c r="A401" s="539" t="n"/>
      <c r="B401" s="533" t="n"/>
      <c r="C401" s="533" t="n"/>
      <c r="D401" s="575" t="n"/>
      <c r="E401" s="571" t="n"/>
      <c r="F401" s="571" t="n"/>
      <c r="G401" s="533" t="n"/>
      <c r="H401" s="533" t="n"/>
    </row>
    <row r="402" ht="24" customHeight="1">
      <c r="A402" s="539" t="n"/>
      <c r="B402" s="533" t="n"/>
      <c r="C402" s="533" t="n"/>
      <c r="D402" s="575" t="n"/>
      <c r="E402" s="571" t="n"/>
      <c r="F402" s="571" t="n"/>
      <c r="G402" s="533" t="n"/>
      <c r="H402" s="533" t="n"/>
    </row>
    <row r="403" ht="24" customHeight="1">
      <c r="A403" s="539" t="n"/>
      <c r="B403" s="533" t="n"/>
      <c r="C403" s="533" t="n"/>
      <c r="D403" s="575" t="n"/>
      <c r="E403" s="571" t="n"/>
      <c r="F403" s="571" t="n"/>
      <c r="G403" s="533" t="n"/>
      <c r="H403" s="533" t="n"/>
    </row>
    <row r="404" ht="24" customHeight="1">
      <c r="A404" s="539" t="n"/>
      <c r="B404" s="533" t="n"/>
      <c r="C404" s="533" t="n"/>
      <c r="D404" s="575" t="n"/>
      <c r="E404" s="571" t="n"/>
      <c r="F404" s="571" t="n"/>
      <c r="G404" s="533" t="n"/>
      <c r="H404" s="533" t="n"/>
    </row>
    <row r="405" ht="24" customHeight="1">
      <c r="A405" s="539" t="n"/>
      <c r="B405" s="533" t="n"/>
      <c r="C405" s="533" t="n"/>
      <c r="D405" s="575" t="n"/>
      <c r="E405" s="571" t="n"/>
      <c r="F405" s="571" t="n"/>
      <c r="G405" s="533" t="n"/>
      <c r="H405" s="533" t="n"/>
    </row>
    <row r="406" ht="24" customHeight="1">
      <c r="A406" s="539" t="n"/>
      <c r="B406" s="533" t="n"/>
      <c r="C406" s="533" t="n"/>
      <c r="D406" s="575" t="n"/>
      <c r="E406" s="571" t="n"/>
      <c r="F406" s="571" t="n"/>
      <c r="G406" s="533" t="n"/>
      <c r="H406" s="533" t="n"/>
    </row>
    <row r="407" ht="24" customHeight="1">
      <c r="A407" s="539" t="n"/>
      <c r="B407" s="533" t="n"/>
      <c r="C407" s="533" t="n"/>
      <c r="D407" s="575" t="n"/>
      <c r="E407" s="571" t="n"/>
      <c r="F407" s="571" t="n"/>
      <c r="G407" s="533" t="n"/>
      <c r="H407" s="533" t="n"/>
    </row>
    <row r="408" ht="24" customHeight="1">
      <c r="A408" s="539" t="n"/>
      <c r="B408" s="533" t="n"/>
      <c r="C408" s="533" t="n"/>
      <c r="D408" s="575" t="n"/>
      <c r="E408" s="571" t="n"/>
      <c r="F408" s="571" t="n"/>
      <c r="G408" s="533" t="n"/>
      <c r="H408" s="533" t="n"/>
    </row>
    <row r="409" ht="24" customHeight="1">
      <c r="A409" s="539" t="n"/>
      <c r="B409" s="533" t="n"/>
      <c r="C409" s="533" t="n"/>
      <c r="D409" s="575" t="n"/>
      <c r="E409" s="571" t="n"/>
      <c r="F409" s="571" t="n"/>
      <c r="G409" s="533" t="n"/>
      <c r="H409" s="533" t="n"/>
    </row>
    <row r="410" ht="24" customHeight="1">
      <c r="A410" s="539" t="n"/>
      <c r="B410" s="533" t="n"/>
      <c r="C410" s="533" t="n"/>
      <c r="D410" s="575" t="n"/>
      <c r="E410" s="571" t="n"/>
      <c r="F410" s="571" t="n"/>
      <c r="G410" s="533" t="n"/>
      <c r="H410" s="533" t="n"/>
    </row>
    <row r="411" ht="24" customHeight="1">
      <c r="A411" s="539" t="n"/>
      <c r="B411" s="533" t="n"/>
      <c r="C411" s="533" t="n"/>
      <c r="D411" s="575" t="n"/>
      <c r="E411" s="571" t="n"/>
      <c r="F411" s="571" t="n"/>
      <c r="G411" s="533" t="n"/>
      <c r="H411" s="533" t="n"/>
    </row>
    <row r="412" ht="24" customHeight="1">
      <c r="A412" s="539" t="n"/>
      <c r="B412" s="533" t="n"/>
      <c r="C412" s="533" t="n"/>
      <c r="D412" s="575" t="n"/>
      <c r="E412" s="571" t="n"/>
      <c r="F412" s="571" t="n"/>
      <c r="G412" s="533" t="n"/>
      <c r="H412" s="533" t="n"/>
    </row>
    <row r="413" ht="24" customHeight="1">
      <c r="A413" s="539" t="n"/>
      <c r="B413" s="533" t="n"/>
      <c r="C413" s="533" t="n"/>
      <c r="D413" s="575" t="n"/>
      <c r="E413" s="571" t="n"/>
      <c r="F413" s="571" t="n"/>
      <c r="G413" s="533" t="n"/>
      <c r="H413" s="533" t="n"/>
    </row>
    <row r="414" ht="24" customHeight="1">
      <c r="A414" s="539" t="n"/>
      <c r="B414" s="533" t="n"/>
      <c r="C414" s="533" t="n"/>
      <c r="D414" s="575" t="n"/>
      <c r="E414" s="571" t="n"/>
      <c r="F414" s="571" t="n"/>
      <c r="G414" s="533" t="n"/>
      <c r="H414" s="533" t="n"/>
    </row>
    <row r="415" ht="24" customHeight="1">
      <c r="A415" s="539" t="n"/>
      <c r="B415" s="533" t="n"/>
      <c r="C415" s="533" t="n"/>
      <c r="D415" s="575" t="n"/>
      <c r="E415" s="571" t="n"/>
      <c r="F415" s="571" t="n"/>
      <c r="G415" s="533" t="n"/>
      <c r="H415" s="533" t="n"/>
    </row>
    <row r="416" ht="24" customHeight="1">
      <c r="A416" s="539" t="n"/>
      <c r="B416" s="533" t="n"/>
      <c r="C416" s="533" t="n"/>
      <c r="D416" s="575" t="n"/>
      <c r="E416" s="571" t="n"/>
      <c r="F416" s="571" t="n"/>
      <c r="G416" s="533" t="n"/>
      <c r="H416" s="533" t="n"/>
    </row>
    <row r="417" ht="24" customHeight="1">
      <c r="A417" s="539" t="n"/>
      <c r="B417" s="533" t="n"/>
      <c r="C417" s="533" t="n"/>
      <c r="D417" s="575" t="n"/>
      <c r="E417" s="571" t="n"/>
      <c r="F417" s="571" t="n"/>
      <c r="G417" s="533" t="n"/>
      <c r="H417" s="533" t="n"/>
    </row>
    <row r="418" ht="24" customHeight="1">
      <c r="A418" s="539" t="n"/>
      <c r="B418" s="533" t="n"/>
      <c r="C418" s="533" t="n"/>
      <c r="D418" s="575" t="n"/>
      <c r="E418" s="571" t="n"/>
      <c r="F418" s="571" t="n"/>
      <c r="G418" s="533" t="n"/>
      <c r="H418" s="533" t="n"/>
    </row>
    <row r="419" ht="24" customHeight="1">
      <c r="A419" s="539" t="n"/>
      <c r="B419" s="533" t="n"/>
      <c r="C419" s="533" t="n"/>
      <c r="D419" s="575" t="n"/>
      <c r="E419" s="571" t="n"/>
      <c r="F419" s="571" t="n"/>
      <c r="G419" s="533" t="n"/>
      <c r="H419" s="533" t="n"/>
    </row>
    <row r="420" ht="24" customHeight="1">
      <c r="A420" s="539" t="n"/>
      <c r="B420" s="533" t="n"/>
      <c r="C420" s="533" t="n"/>
      <c r="D420" s="575" t="n"/>
      <c r="E420" s="571" t="n"/>
      <c r="F420" s="571" t="n"/>
      <c r="G420" s="533" t="n"/>
      <c r="H420" s="533" t="n"/>
    </row>
    <row r="421" ht="24" customHeight="1">
      <c r="A421" s="539" t="n"/>
      <c r="B421" s="533" t="n"/>
      <c r="C421" s="533" t="n"/>
      <c r="D421" s="575" t="n"/>
      <c r="E421" s="571" t="n"/>
      <c r="F421" s="571" t="n"/>
      <c r="G421" s="533" t="n"/>
      <c r="H421" s="533" t="n"/>
    </row>
    <row r="422" ht="24" customHeight="1">
      <c r="A422" s="539" t="n"/>
      <c r="B422" s="533" t="n"/>
      <c r="C422" s="533" t="n"/>
      <c r="D422" s="575" t="n"/>
      <c r="E422" s="571" t="n"/>
      <c r="F422" s="571" t="n"/>
      <c r="G422" s="533" t="n"/>
      <c r="H422" s="533" t="n"/>
    </row>
    <row r="423" ht="24" customHeight="1">
      <c r="A423" s="539" t="n"/>
      <c r="B423" s="533" t="n"/>
      <c r="C423" s="533" t="n"/>
      <c r="D423" s="575" t="n"/>
      <c r="E423" s="571" t="n"/>
      <c r="F423" s="571" t="n"/>
      <c r="G423" s="533" t="n"/>
      <c r="H423" s="533" t="n"/>
    </row>
    <row r="424" ht="24" customHeight="1">
      <c r="A424" s="539" t="n"/>
      <c r="B424" s="533" t="n"/>
      <c r="C424" s="533" t="n"/>
      <c r="D424" s="575" t="n"/>
      <c r="E424" s="571" t="n"/>
      <c r="F424" s="571" t="n"/>
      <c r="G424" s="533" t="n"/>
      <c r="H424" s="533" t="n"/>
    </row>
    <row r="425" ht="24" customHeight="1">
      <c r="A425" s="539" t="n"/>
      <c r="B425" s="533" t="n"/>
      <c r="C425" s="533" t="n"/>
      <c r="D425" s="575" t="n"/>
      <c r="E425" s="571" t="n"/>
      <c r="F425" s="571" t="n"/>
      <c r="G425" s="533" t="n"/>
      <c r="H425" s="533" t="n"/>
    </row>
    <row r="426" ht="24" customHeight="1">
      <c r="A426" s="539" t="n"/>
      <c r="B426" s="533" t="n"/>
      <c r="C426" s="533" t="n"/>
      <c r="D426" s="575" t="n"/>
      <c r="E426" s="571" t="n"/>
      <c r="F426" s="571" t="n"/>
      <c r="G426" s="533" t="n"/>
      <c r="H426" s="533" t="n"/>
    </row>
    <row r="427" ht="24" customHeight="1">
      <c r="A427" s="539" t="n"/>
      <c r="B427" s="533" t="n"/>
      <c r="C427" s="533" t="n"/>
      <c r="D427" s="575" t="n"/>
      <c r="E427" s="571" t="n"/>
      <c r="F427" s="571" t="n"/>
      <c r="G427" s="533" t="n"/>
      <c r="H427" s="533" t="n"/>
    </row>
    <row r="428" ht="24" customHeight="1">
      <c r="A428" s="539" t="n"/>
      <c r="B428" s="533" t="n"/>
      <c r="C428" s="533" t="n"/>
      <c r="D428" s="575" t="n"/>
      <c r="E428" s="571" t="n"/>
      <c r="F428" s="571" t="n"/>
      <c r="G428" s="533" t="n"/>
      <c r="H428" s="533" t="n"/>
    </row>
    <row r="429" ht="24" customHeight="1">
      <c r="A429" s="539" t="n"/>
      <c r="B429" s="533" t="n"/>
      <c r="C429" s="533" t="n"/>
      <c r="D429" s="575" t="n"/>
      <c r="E429" s="571" t="n"/>
      <c r="F429" s="571" t="n"/>
      <c r="G429" s="533" t="n"/>
      <c r="H429" s="533" t="n"/>
    </row>
    <row r="430" ht="24" customHeight="1">
      <c r="A430" s="539" t="n"/>
      <c r="B430" s="533" t="n"/>
      <c r="C430" s="533" t="n"/>
      <c r="D430" s="575" t="n"/>
      <c r="E430" s="571" t="n"/>
      <c r="F430" s="571" t="n"/>
      <c r="G430" s="533" t="n"/>
      <c r="H430" s="533" t="n"/>
    </row>
    <row r="431" ht="24" customHeight="1">
      <c r="A431" s="539" t="n"/>
      <c r="B431" s="533" t="n"/>
      <c r="C431" s="533" t="n"/>
      <c r="D431" s="575" t="n"/>
      <c r="E431" s="571" t="n"/>
      <c r="F431" s="571" t="n"/>
      <c r="G431" s="533" t="n"/>
      <c r="H431" s="533" t="n"/>
    </row>
    <row r="432" ht="24" customHeight="1">
      <c r="A432" s="539" t="n"/>
      <c r="B432" s="533" t="n"/>
      <c r="C432" s="533" t="n"/>
      <c r="D432" s="575" t="n"/>
      <c r="E432" s="571" t="n"/>
      <c r="F432" s="571" t="n"/>
      <c r="G432" s="533" t="n"/>
      <c r="H432" s="533" t="n"/>
    </row>
    <row r="433" ht="24" customHeight="1">
      <c r="A433" s="539" t="n"/>
      <c r="B433" s="533" t="n"/>
      <c r="C433" s="533" t="n"/>
      <c r="D433" s="575" t="n"/>
      <c r="E433" s="571" t="n"/>
      <c r="F433" s="571" t="n"/>
      <c r="G433" s="533" t="n"/>
      <c r="H433" s="533" t="n"/>
    </row>
    <row r="434" ht="24" customHeight="1">
      <c r="A434" s="539" t="n"/>
      <c r="B434" s="533" t="n"/>
      <c r="C434" s="533" t="n"/>
      <c r="D434" s="575" t="n"/>
      <c r="E434" s="571" t="n"/>
      <c r="F434" s="571" t="n"/>
      <c r="G434" s="533" t="n"/>
      <c r="H434" s="533" t="n"/>
    </row>
    <row r="435" ht="24" customHeight="1">
      <c r="A435" s="539" t="n"/>
      <c r="B435" s="533" t="n"/>
      <c r="C435" s="533" t="n"/>
      <c r="D435" s="575" t="n"/>
      <c r="E435" s="571" t="n"/>
      <c r="F435" s="571" t="n"/>
      <c r="G435" s="533" t="n"/>
      <c r="H435" s="533" t="n"/>
    </row>
    <row r="436" ht="24" customHeight="1">
      <c r="A436" s="539" t="n"/>
      <c r="B436" s="533" t="n"/>
      <c r="C436" s="533" t="n"/>
      <c r="D436" s="575" t="n"/>
      <c r="E436" s="571" t="n"/>
      <c r="F436" s="571" t="n"/>
      <c r="G436" s="533" t="n"/>
      <c r="H436" s="533" t="n"/>
    </row>
    <row r="437" ht="24" customHeight="1">
      <c r="A437" s="539" t="n"/>
      <c r="B437" s="533" t="n"/>
      <c r="C437" s="533" t="n"/>
      <c r="D437" s="575" t="n"/>
      <c r="E437" s="571" t="n"/>
      <c r="F437" s="571" t="n"/>
      <c r="G437" s="533" t="n"/>
      <c r="H437" s="533" t="n"/>
    </row>
    <row r="438" ht="24" customHeight="1">
      <c r="A438" s="539" t="n"/>
      <c r="B438" s="533" t="n"/>
      <c r="C438" s="533" t="n"/>
      <c r="D438" s="575" t="n"/>
      <c r="E438" s="571" t="n"/>
      <c r="F438" s="571" t="n"/>
      <c r="G438" s="533" t="n"/>
      <c r="H438" s="533" t="n"/>
    </row>
    <row r="439" ht="24" customHeight="1">
      <c r="A439" s="539" t="n"/>
      <c r="B439" s="533" t="n"/>
      <c r="C439" s="533" t="n"/>
      <c r="D439" s="575" t="n"/>
      <c r="E439" s="571" t="n"/>
      <c r="F439" s="571" t="n"/>
      <c r="G439" s="533" t="n"/>
      <c r="H439" s="533" t="n"/>
    </row>
    <row r="440" ht="24" customHeight="1">
      <c r="A440" s="539" t="n"/>
      <c r="B440" s="533" t="n"/>
      <c r="C440" s="533" t="n"/>
      <c r="D440" s="575" t="n"/>
      <c r="E440" s="571" t="n"/>
      <c r="F440" s="571" t="n"/>
      <c r="G440" s="533" t="n"/>
      <c r="H440" s="533" t="n"/>
    </row>
    <row r="441" ht="24" customHeight="1">
      <c r="A441" s="539" t="n"/>
      <c r="B441" s="533" t="n"/>
      <c r="C441" s="533" t="n"/>
      <c r="D441" s="575" t="n"/>
      <c r="E441" s="571" t="n"/>
      <c r="F441" s="571" t="n"/>
      <c r="G441" s="533" t="n"/>
      <c r="H441" s="533" t="n"/>
    </row>
    <row r="442" ht="24" customHeight="1">
      <c r="A442" s="539" t="n"/>
      <c r="B442" s="533" t="n"/>
      <c r="C442" s="533" t="n"/>
      <c r="D442" s="575" t="n"/>
      <c r="E442" s="571" t="n"/>
      <c r="F442" s="571" t="n"/>
      <c r="G442" s="533" t="n"/>
      <c r="H442" s="533" t="n"/>
    </row>
    <row r="443" ht="24" customHeight="1">
      <c r="A443" s="539" t="n"/>
      <c r="B443" s="533" t="n"/>
      <c r="C443" s="533" t="n"/>
      <c r="D443" s="575" t="n"/>
      <c r="E443" s="571" t="n"/>
      <c r="F443" s="571" t="n"/>
      <c r="G443" s="533" t="n"/>
      <c r="H443" s="533" t="n"/>
    </row>
    <row r="444" ht="24" customHeight="1">
      <c r="A444" s="539" t="n"/>
      <c r="B444" s="533" t="n"/>
      <c r="C444" s="533" t="n"/>
      <c r="D444" s="575" t="n"/>
      <c r="E444" s="571" t="n"/>
      <c r="F444" s="571" t="n"/>
      <c r="G444" s="533" t="n"/>
      <c r="H444" s="533" t="n"/>
    </row>
    <row r="445" ht="24" customHeight="1">
      <c r="A445" s="539" t="n"/>
      <c r="B445" s="533" t="n"/>
      <c r="C445" s="533" t="n"/>
      <c r="D445" s="575" t="n"/>
      <c r="E445" s="571" t="n"/>
      <c r="F445" s="571" t="n"/>
      <c r="G445" s="533" t="n"/>
      <c r="H445" s="533" t="n"/>
    </row>
    <row r="446" ht="24" customHeight="1">
      <c r="A446" s="539" t="n"/>
      <c r="B446" s="533" t="n"/>
      <c r="C446" s="533" t="n"/>
      <c r="D446" s="575" t="n"/>
      <c r="E446" s="571" t="n"/>
      <c r="F446" s="571" t="n"/>
      <c r="G446" s="533" t="n"/>
      <c r="H446" s="533" t="n"/>
    </row>
    <row r="447" ht="24" customHeight="1">
      <c r="A447" s="539" t="n"/>
      <c r="B447" s="533" t="n"/>
      <c r="C447" s="533" t="n"/>
      <c r="D447" s="575" t="n"/>
      <c r="E447" s="571" t="n"/>
      <c r="F447" s="571" t="n"/>
      <c r="G447" s="533" t="n"/>
      <c r="H447" s="533" t="n"/>
    </row>
    <row r="448" ht="24" customHeight="1">
      <c r="A448" s="539" t="n"/>
      <c r="B448" s="533" t="n"/>
      <c r="C448" s="533" t="n"/>
      <c r="D448" s="575" t="n"/>
      <c r="E448" s="571" t="n"/>
      <c r="F448" s="571" t="n"/>
      <c r="G448" s="533" t="n"/>
      <c r="H448" s="533" t="n"/>
    </row>
    <row r="449" ht="24" customHeight="1">
      <c r="A449" s="539" t="n"/>
      <c r="B449" s="533" t="n"/>
      <c r="C449" s="533" t="n"/>
      <c r="D449" s="575" t="n"/>
      <c r="E449" s="571" t="n"/>
      <c r="F449" s="571" t="n"/>
      <c r="G449" s="533" t="n"/>
      <c r="H449" s="533" t="n"/>
    </row>
    <row r="450" ht="24" customHeight="1">
      <c r="A450" s="539" t="n"/>
      <c r="B450" s="533" t="n"/>
      <c r="C450" s="533" t="n"/>
      <c r="D450" s="575" t="n"/>
      <c r="E450" s="571" t="n"/>
      <c r="F450" s="571" t="n"/>
      <c r="G450" s="533" t="n"/>
      <c r="H450" s="533" t="n"/>
    </row>
    <row r="451" ht="24" customHeight="1">
      <c r="A451" s="539" t="n"/>
      <c r="B451" s="533" t="n"/>
      <c r="C451" s="533" t="n"/>
      <c r="D451" s="575" t="n"/>
      <c r="E451" s="571" t="n"/>
      <c r="F451" s="571" t="n"/>
      <c r="G451" s="533" t="n"/>
      <c r="H451" s="533" t="n"/>
    </row>
    <row r="452" ht="24" customHeight="1">
      <c r="A452" s="539" t="n"/>
      <c r="B452" s="533" t="n"/>
      <c r="C452" s="533" t="n"/>
      <c r="D452" s="575" t="n"/>
      <c r="E452" s="571" t="n"/>
      <c r="F452" s="571" t="n"/>
      <c r="G452" s="533" t="n"/>
      <c r="H452" s="533" t="n"/>
    </row>
    <row r="453" ht="24" customHeight="1">
      <c r="A453" s="539" t="n"/>
      <c r="B453" s="533" t="n"/>
      <c r="C453" s="533" t="n"/>
      <c r="D453" s="575" t="n"/>
      <c r="E453" s="571" t="n"/>
      <c r="F453" s="571" t="n"/>
      <c r="G453" s="533" t="n"/>
      <c r="H453" s="533" t="n"/>
    </row>
    <row r="454" ht="24" customHeight="1">
      <c r="A454" s="539" t="n"/>
      <c r="B454" s="533" t="n"/>
      <c r="C454" s="533" t="n"/>
      <c r="D454" s="575" t="n"/>
      <c r="E454" s="571" t="n"/>
      <c r="F454" s="571" t="n"/>
      <c r="G454" s="533" t="n"/>
      <c r="H454" s="533" t="n"/>
    </row>
    <row r="455" ht="24" customHeight="1">
      <c r="A455" s="539" t="n"/>
      <c r="B455" s="533" t="n"/>
      <c r="C455" s="533" t="n"/>
      <c r="D455" s="575" t="n"/>
      <c r="E455" s="571" t="n"/>
      <c r="F455" s="571" t="n"/>
      <c r="G455" s="533" t="n"/>
      <c r="H455" s="533" t="n"/>
    </row>
    <row r="456" ht="24" customHeight="1">
      <c r="A456" s="539" t="n"/>
      <c r="B456" s="533" t="n"/>
      <c r="C456" s="533" t="n"/>
      <c r="D456" s="575" t="n"/>
      <c r="E456" s="571" t="n"/>
      <c r="F456" s="571" t="n"/>
      <c r="G456" s="533" t="n"/>
      <c r="H456" s="533" t="n"/>
    </row>
    <row r="457" ht="24" customHeight="1">
      <c r="A457" s="539" t="n"/>
      <c r="B457" s="533" t="n"/>
      <c r="C457" s="533" t="n"/>
      <c r="D457" s="575" t="n"/>
      <c r="E457" s="571" t="n"/>
      <c r="F457" s="571" t="n"/>
      <c r="G457" s="533" t="n"/>
      <c r="H457" s="533" t="n"/>
    </row>
    <row r="458" ht="24" customHeight="1">
      <c r="A458" s="539" t="n"/>
      <c r="B458" s="533" t="n"/>
      <c r="C458" s="533" t="n"/>
      <c r="D458" s="575" t="n"/>
      <c r="E458" s="571" t="n"/>
      <c r="F458" s="571" t="n"/>
      <c r="G458" s="533" t="n"/>
      <c r="H458" s="533" t="n"/>
    </row>
    <row r="459" ht="24" customHeight="1">
      <c r="A459" s="539" t="n"/>
      <c r="B459" s="533" t="n"/>
      <c r="C459" s="533" t="n"/>
      <c r="D459" s="575" t="n"/>
      <c r="E459" s="571" t="n"/>
      <c r="F459" s="571" t="n"/>
      <c r="G459" s="533" t="n"/>
      <c r="H459" s="533" t="n"/>
    </row>
    <row r="460" ht="24" customHeight="1">
      <c r="A460" s="539" t="n"/>
      <c r="B460" s="533" t="n"/>
      <c r="C460" s="533" t="n"/>
      <c r="D460" s="575" t="n"/>
      <c r="E460" s="571" t="n"/>
      <c r="F460" s="571" t="n"/>
      <c r="G460" s="533" t="n"/>
      <c r="H460" s="533" t="n"/>
    </row>
    <row r="461" ht="24" customHeight="1">
      <c r="A461" s="539" t="n"/>
      <c r="B461" s="533" t="n"/>
      <c r="C461" s="533" t="n"/>
      <c r="D461" s="575" t="n"/>
      <c r="E461" s="571" t="n"/>
      <c r="F461" s="571" t="n"/>
      <c r="G461" s="533" t="n"/>
      <c r="H461" s="533" t="n"/>
    </row>
    <row r="462" ht="24" customHeight="1">
      <c r="A462" s="539" t="n"/>
      <c r="B462" s="533" t="n"/>
      <c r="C462" s="533" t="n"/>
      <c r="D462" s="575" t="n"/>
      <c r="E462" s="571" t="n"/>
      <c r="F462" s="571" t="n"/>
      <c r="G462" s="533" t="n"/>
      <c r="H462" s="533" t="n"/>
    </row>
    <row r="463" ht="24" customHeight="1">
      <c r="A463" s="539" t="n"/>
      <c r="B463" s="533" t="n"/>
      <c r="C463" s="533" t="n"/>
      <c r="D463" s="575" t="n"/>
      <c r="E463" s="571" t="n"/>
      <c r="F463" s="571" t="n"/>
      <c r="G463" s="533" t="n"/>
      <c r="H463" s="533" t="n"/>
    </row>
    <row r="464" ht="24" customHeight="1">
      <c r="A464" s="539" t="n"/>
      <c r="B464" s="533" t="n"/>
      <c r="C464" s="533" t="n"/>
      <c r="D464" s="575" t="n"/>
      <c r="E464" s="571" t="n"/>
      <c r="F464" s="571" t="n"/>
      <c r="G464" s="533" t="n"/>
      <c r="H464" s="533" t="n"/>
    </row>
    <row r="465" ht="24" customHeight="1">
      <c r="A465" s="539" t="n"/>
      <c r="B465" s="533" t="n"/>
      <c r="C465" s="533" t="n"/>
      <c r="D465" s="575" t="n"/>
      <c r="E465" s="571" t="n"/>
      <c r="F465" s="571" t="n"/>
      <c r="G465" s="533" t="n"/>
      <c r="H465" s="533" t="n"/>
    </row>
    <row r="466" ht="24" customHeight="1">
      <c r="A466" s="539" t="n"/>
      <c r="B466" s="533" t="n"/>
      <c r="C466" s="533" t="n"/>
      <c r="D466" s="575" t="n"/>
      <c r="E466" s="571" t="n"/>
      <c r="F466" s="571" t="n"/>
      <c r="G466" s="533" t="n"/>
      <c r="H466" s="533" t="n"/>
    </row>
    <row r="467" ht="24" customHeight="1">
      <c r="A467" s="539" t="n"/>
      <c r="B467" s="533" t="n"/>
      <c r="C467" s="533" t="n"/>
      <c r="D467" s="575" t="n"/>
      <c r="E467" s="571" t="n"/>
      <c r="F467" s="571" t="n"/>
      <c r="G467" s="533" t="n"/>
      <c r="H467" s="533" t="n"/>
    </row>
    <row r="468" ht="24" customHeight="1">
      <c r="A468" s="539" t="n"/>
      <c r="B468" s="533" t="n"/>
      <c r="C468" s="533" t="n"/>
      <c r="D468" s="575" t="n"/>
      <c r="E468" s="571" t="n"/>
      <c r="F468" s="571" t="n"/>
      <c r="G468" s="533" t="n"/>
      <c r="H468" s="533" t="n"/>
    </row>
    <row r="469" ht="24" customHeight="1">
      <c r="A469" s="539" t="n"/>
      <c r="B469" s="533" t="n"/>
      <c r="C469" s="533" t="n"/>
      <c r="D469" s="575" t="n"/>
      <c r="E469" s="571" t="n"/>
      <c r="F469" s="571" t="n"/>
      <c r="G469" s="533" t="n"/>
      <c r="H469" s="533" t="n"/>
    </row>
    <row r="470" ht="24" customHeight="1">
      <c r="A470" s="539" t="n"/>
      <c r="B470" s="533" t="n"/>
      <c r="C470" s="533" t="n"/>
      <c r="D470" s="575" t="n"/>
      <c r="E470" s="571" t="n"/>
      <c r="F470" s="571" t="n"/>
      <c r="G470" s="533" t="n"/>
      <c r="H470" s="533" t="n"/>
    </row>
    <row r="471" ht="24" customHeight="1">
      <c r="A471" s="539" t="n"/>
      <c r="B471" s="533" t="n"/>
      <c r="C471" s="533" t="n"/>
      <c r="D471" s="575" t="n"/>
      <c r="E471" s="571" t="n"/>
      <c r="F471" s="571" t="n"/>
      <c r="G471" s="533" t="n"/>
      <c r="H471" s="533" t="n"/>
    </row>
    <row r="472" ht="24" customHeight="1">
      <c r="A472" s="539" t="n"/>
      <c r="B472" s="533" t="n"/>
      <c r="C472" s="533" t="n"/>
      <c r="D472" s="575" t="n"/>
      <c r="E472" s="571" t="n"/>
      <c r="F472" s="571" t="n"/>
      <c r="G472" s="533" t="n"/>
      <c r="H472" s="533" t="n"/>
    </row>
    <row r="473" ht="24" customHeight="1">
      <c r="A473" s="539" t="n"/>
      <c r="B473" s="533" t="n"/>
      <c r="C473" s="533" t="n"/>
      <c r="D473" s="575" t="n"/>
      <c r="E473" s="571" t="n"/>
      <c r="F473" s="571" t="n"/>
      <c r="G473" s="533" t="n"/>
      <c r="H473" s="533" t="n"/>
    </row>
    <row r="474" ht="24" customHeight="1">
      <c r="A474" s="539" t="n"/>
      <c r="B474" s="533" t="n"/>
      <c r="C474" s="533" t="n"/>
      <c r="D474" s="575" t="n"/>
      <c r="E474" s="571" t="n"/>
      <c r="F474" s="571" t="n"/>
      <c r="G474" s="533" t="n"/>
      <c r="H474" s="533" t="n"/>
    </row>
    <row r="475" ht="24" customHeight="1">
      <c r="A475" s="539" t="n"/>
      <c r="B475" s="533" t="n"/>
      <c r="C475" s="533" t="n"/>
      <c r="D475" s="575" t="n"/>
      <c r="E475" s="571" t="n"/>
      <c r="F475" s="571" t="n"/>
      <c r="G475" s="533" t="n"/>
      <c r="H475" s="533" t="n"/>
    </row>
    <row r="476" ht="24" customHeight="1">
      <c r="A476" s="539" t="n"/>
      <c r="B476" s="533" t="n"/>
      <c r="C476" s="533" t="n"/>
      <c r="D476" s="575" t="n"/>
      <c r="E476" s="571" t="n"/>
      <c r="F476" s="571" t="n"/>
      <c r="G476" s="533" t="n"/>
      <c r="H476" s="533" t="n"/>
    </row>
    <row r="477" ht="24" customHeight="1">
      <c r="A477" s="539" t="n"/>
      <c r="B477" s="533" t="n"/>
      <c r="C477" s="533" t="n"/>
      <c r="D477" s="575" t="n"/>
      <c r="E477" s="571" t="n"/>
      <c r="F477" s="571" t="n"/>
      <c r="G477" s="533" t="n"/>
      <c r="H477" s="533" t="n"/>
    </row>
    <row r="478" ht="24" customHeight="1">
      <c r="A478" s="539" t="n"/>
      <c r="B478" s="533" t="n"/>
      <c r="C478" s="533" t="n"/>
      <c r="D478" s="575" t="n"/>
      <c r="E478" s="571" t="n"/>
      <c r="F478" s="571" t="n"/>
      <c r="G478" s="533" t="n"/>
      <c r="H478" s="533" t="n"/>
    </row>
    <row r="479" ht="24" customHeight="1">
      <c r="A479" s="539" t="n"/>
      <c r="B479" s="533" t="n"/>
      <c r="C479" s="533" t="n"/>
      <c r="D479" s="575" t="n"/>
      <c r="E479" s="571" t="n"/>
      <c r="F479" s="571" t="n"/>
      <c r="G479" s="533" t="n"/>
      <c r="H479" s="533" t="n"/>
    </row>
    <row r="480" ht="24" customHeight="1">
      <c r="A480" s="539" t="n"/>
      <c r="B480" s="533" t="n"/>
      <c r="C480" s="533" t="n"/>
      <c r="D480" s="575" t="n"/>
      <c r="E480" s="571" t="n"/>
      <c r="F480" s="571" t="n"/>
      <c r="G480" s="533" t="n"/>
      <c r="H480" s="533" t="n"/>
    </row>
    <row r="481" ht="24" customHeight="1">
      <c r="A481" s="539" t="n"/>
      <c r="B481" s="533" t="n"/>
      <c r="C481" s="533" t="n"/>
      <c r="D481" s="575" t="n"/>
      <c r="E481" s="571" t="n"/>
      <c r="F481" s="571" t="n"/>
      <c r="G481" s="533" t="n"/>
      <c r="H481" s="533" t="n"/>
    </row>
    <row r="482" ht="24" customHeight="1">
      <c r="A482" s="539" t="n"/>
      <c r="B482" s="533" t="n"/>
      <c r="C482" s="533" t="n"/>
      <c r="D482" s="575" t="n"/>
      <c r="E482" s="571" t="n"/>
      <c r="F482" s="571" t="n"/>
      <c r="G482" s="533" t="n"/>
      <c r="H482" s="533" t="n"/>
    </row>
    <row r="483" ht="24" customHeight="1">
      <c r="A483" s="539" t="n"/>
      <c r="B483" s="533" t="n"/>
      <c r="C483" s="533" t="n"/>
      <c r="D483" s="575" t="n"/>
      <c r="E483" s="571" t="n"/>
      <c r="F483" s="571" t="n"/>
      <c r="G483" s="533" t="n"/>
      <c r="H483" s="533" t="n"/>
    </row>
    <row r="484" ht="24" customHeight="1">
      <c r="A484" s="539" t="n"/>
      <c r="B484" s="533" t="n"/>
      <c r="C484" s="533" t="n"/>
      <c r="D484" s="575" t="n"/>
      <c r="E484" s="571" t="n"/>
      <c r="F484" s="571" t="n"/>
      <c r="G484" s="533" t="n"/>
      <c r="H484" s="533" t="n"/>
    </row>
    <row r="485" ht="24" customHeight="1">
      <c r="A485" s="539" t="n"/>
      <c r="B485" s="533" t="n"/>
      <c r="C485" s="533" t="n"/>
      <c r="D485" s="575" t="n"/>
      <c r="E485" s="571" t="n"/>
      <c r="F485" s="571" t="n"/>
      <c r="G485" s="533" t="n"/>
      <c r="H485" s="533" t="n"/>
    </row>
    <row r="486" ht="24" customHeight="1">
      <c r="A486" s="539" t="n"/>
      <c r="B486" s="533" t="n"/>
      <c r="C486" s="533" t="n"/>
      <c r="D486" s="575" t="n"/>
      <c r="E486" s="571" t="n"/>
      <c r="F486" s="571" t="n"/>
      <c r="G486" s="533" t="n"/>
      <c r="H486" s="533" t="n"/>
    </row>
    <row r="487" ht="24" customHeight="1">
      <c r="A487" s="539" t="n"/>
      <c r="B487" s="533" t="n"/>
      <c r="C487" s="533" t="n"/>
      <c r="D487" s="575" t="n"/>
      <c r="E487" s="571" t="n"/>
      <c r="F487" s="571" t="n"/>
      <c r="G487" s="533" t="n"/>
      <c r="H487" s="533" t="n"/>
    </row>
    <row r="488" ht="24" customHeight="1">
      <c r="A488" s="539" t="n"/>
      <c r="B488" s="533" t="n"/>
      <c r="C488" s="533" t="n"/>
      <c r="D488" s="575" t="n"/>
      <c r="E488" s="571" t="n"/>
      <c r="F488" s="571" t="n"/>
      <c r="G488" s="533" t="n"/>
      <c r="H488" s="533" t="n"/>
    </row>
    <row r="489" ht="24" customHeight="1">
      <c r="A489" s="539" t="n"/>
      <c r="B489" s="533" t="n"/>
      <c r="C489" s="533" t="n"/>
      <c r="D489" s="575" t="n"/>
      <c r="E489" s="571" t="n"/>
      <c r="F489" s="571" t="n"/>
      <c r="G489" s="533" t="n"/>
      <c r="H489" s="533" t="n"/>
    </row>
    <row r="490" ht="24" customHeight="1">
      <c r="A490" s="539" t="n"/>
      <c r="B490" s="533" t="n"/>
      <c r="C490" s="533" t="n"/>
      <c r="D490" s="575" t="n"/>
      <c r="E490" s="571" t="n"/>
      <c r="F490" s="571" t="n"/>
      <c r="G490" s="533" t="n"/>
      <c r="H490" s="533" t="n"/>
    </row>
    <row r="491" ht="24" customHeight="1">
      <c r="A491" s="539" t="n"/>
      <c r="B491" s="533" t="n"/>
      <c r="C491" s="533" t="n"/>
      <c r="D491" s="575" t="n"/>
      <c r="E491" s="571" t="n"/>
      <c r="F491" s="571" t="n"/>
      <c r="G491" s="533" t="n"/>
      <c r="H491" s="533" t="n"/>
    </row>
    <row r="492" ht="24" customHeight="1">
      <c r="A492" s="539" t="n"/>
      <c r="B492" s="533" t="n"/>
      <c r="C492" s="533" t="n"/>
      <c r="D492" s="575" t="n"/>
      <c r="E492" s="571" t="n"/>
      <c r="F492" s="571" t="n"/>
      <c r="G492" s="533" t="n"/>
      <c r="H492" s="533" t="n"/>
    </row>
    <row r="493" ht="24" customHeight="1">
      <c r="A493" s="539" t="n"/>
      <c r="B493" s="533" t="n"/>
      <c r="C493" s="533" t="n"/>
      <c r="D493" s="575" t="n"/>
      <c r="E493" s="571" t="n"/>
      <c r="F493" s="571" t="n"/>
      <c r="G493" s="533" t="n"/>
      <c r="H493" s="533" t="n"/>
    </row>
    <row r="494" ht="24" customHeight="1">
      <c r="A494" s="539" t="n"/>
      <c r="B494" s="533" t="n"/>
      <c r="C494" s="533" t="n"/>
      <c r="D494" s="575" t="n"/>
      <c r="E494" s="571" t="n"/>
      <c r="F494" s="571" t="n"/>
      <c r="G494" s="533" t="n"/>
      <c r="H494" s="533" t="n"/>
    </row>
    <row r="495" ht="24" customHeight="1">
      <c r="A495" s="539" t="n"/>
      <c r="B495" s="533" t="n"/>
      <c r="C495" s="533" t="n"/>
      <c r="D495" s="575" t="n"/>
      <c r="E495" s="571" t="n"/>
      <c r="F495" s="571" t="n"/>
      <c r="G495" s="533" t="n"/>
      <c r="H495" s="533" t="n"/>
    </row>
    <row r="496" ht="24" customHeight="1">
      <c r="A496" s="539" t="n"/>
      <c r="B496" s="533" t="n"/>
      <c r="C496" s="533" t="n"/>
      <c r="D496" s="575" t="n"/>
      <c r="E496" s="571" t="n"/>
      <c r="F496" s="571" t="n"/>
      <c r="G496" s="533" t="n"/>
      <c r="H496" s="533" t="n"/>
    </row>
    <row r="497" ht="24" customHeight="1">
      <c r="A497" s="539" t="n"/>
      <c r="B497" s="533" t="n"/>
      <c r="C497" s="533" t="n"/>
      <c r="D497" s="575" t="n"/>
      <c r="E497" s="571" t="n"/>
      <c r="F497" s="571" t="n"/>
      <c r="G497" s="533" t="n"/>
      <c r="H497" s="533" t="n"/>
    </row>
    <row r="498" ht="24" customHeight="1">
      <c r="A498" s="539" t="n"/>
      <c r="B498" s="533" t="n"/>
      <c r="C498" s="533" t="n"/>
      <c r="D498" s="575" t="n"/>
      <c r="E498" s="571" t="n"/>
      <c r="F498" s="571" t="n"/>
      <c r="G498" s="533" t="n"/>
      <c r="H498" s="533" t="n"/>
    </row>
    <row r="499" ht="24" customHeight="1">
      <c r="A499" s="539" t="n"/>
      <c r="B499" s="533" t="n"/>
      <c r="C499" s="533" t="n"/>
      <c r="D499" s="575" t="n"/>
      <c r="E499" s="571" t="n"/>
      <c r="F499" s="571" t="n"/>
      <c r="G499" s="533" t="n"/>
      <c r="H499" s="533" t="n"/>
    </row>
    <row r="500" ht="24" customHeight="1">
      <c r="A500" s="539" t="n"/>
      <c r="B500" s="533" t="n"/>
      <c r="C500" s="533" t="n"/>
      <c r="D500" s="575" t="n"/>
      <c r="E500" s="571" t="n"/>
      <c r="F500" s="571" t="n"/>
      <c r="G500" s="533" t="n"/>
      <c r="H500" s="533" t="n"/>
    </row>
    <row r="501" ht="24" customHeight="1">
      <c r="A501" s="539" t="n"/>
      <c r="B501" s="533" t="n"/>
      <c r="C501" s="533" t="n"/>
      <c r="D501" s="575" t="n"/>
      <c r="E501" s="571" t="n"/>
      <c r="F501" s="571" t="n"/>
      <c r="G501" s="533" t="n"/>
      <c r="H501" s="533" t="n"/>
    </row>
    <row r="502" ht="24" customHeight="1">
      <c r="A502" s="539" t="n"/>
      <c r="B502" s="533" t="n"/>
      <c r="C502" s="533" t="n"/>
      <c r="D502" s="575" t="n"/>
      <c r="E502" s="571" t="n"/>
      <c r="F502" s="571" t="n"/>
      <c r="G502" s="533" t="n"/>
      <c r="H502" s="533" t="n"/>
    </row>
    <row r="503" ht="24" customHeight="1">
      <c r="A503" s="539" t="n"/>
      <c r="B503" s="533" t="n"/>
      <c r="C503" s="533" t="n"/>
      <c r="D503" s="575" t="n"/>
      <c r="E503" s="571" t="n"/>
      <c r="F503" s="571" t="n"/>
      <c r="G503" s="533" t="n"/>
      <c r="H503" s="533" t="n"/>
    </row>
    <row r="504" ht="24" customHeight="1">
      <c r="A504" s="539" t="n"/>
      <c r="B504" s="533" t="n"/>
      <c r="C504" s="533" t="n"/>
      <c r="D504" s="575" t="n"/>
      <c r="E504" s="571" t="n"/>
      <c r="F504" s="571" t="n"/>
      <c r="G504" s="533" t="n"/>
      <c r="H504" s="533" t="n"/>
    </row>
    <row r="505" ht="24" customHeight="1">
      <c r="A505" s="539" t="n"/>
      <c r="B505" s="533" t="n"/>
      <c r="C505" s="533" t="n"/>
      <c r="D505" s="575" t="n"/>
      <c r="E505" s="571" t="n"/>
      <c r="F505" s="571" t="n"/>
      <c r="G505" s="533" t="n"/>
      <c r="H505" s="533" t="n"/>
    </row>
    <row r="506" ht="24" customHeight="1">
      <c r="A506" s="539" t="n"/>
      <c r="B506" s="533" t="n"/>
      <c r="C506" s="533" t="n"/>
      <c r="D506" s="575" t="n"/>
      <c r="E506" s="571" t="n"/>
      <c r="F506" s="571" t="n"/>
      <c r="G506" s="533" t="n"/>
      <c r="H506" s="533" t="n"/>
    </row>
    <row r="507" ht="24" customHeight="1">
      <c r="A507" s="539" t="n"/>
      <c r="B507" s="533" t="n"/>
      <c r="C507" s="533" t="n"/>
      <c r="D507" s="575" t="n"/>
      <c r="E507" s="571" t="n"/>
      <c r="F507" s="571" t="n"/>
      <c r="G507" s="533" t="n"/>
      <c r="H507" s="533" t="n"/>
    </row>
    <row r="508" ht="24" customHeight="1">
      <c r="A508" s="539" t="n"/>
      <c r="B508" s="533" t="n"/>
      <c r="C508" s="533" t="n"/>
      <c r="D508" s="575" t="n"/>
      <c r="E508" s="571" t="n"/>
      <c r="F508" s="571" t="n"/>
      <c r="G508" s="533" t="n"/>
      <c r="H508" s="533" t="n"/>
    </row>
    <row r="509" ht="24" customHeight="1">
      <c r="A509" s="539" t="n"/>
      <c r="B509" s="533" t="n"/>
      <c r="C509" s="533" t="n"/>
      <c r="D509" s="575" t="n"/>
      <c r="E509" s="571" t="n"/>
      <c r="F509" s="571" t="n"/>
      <c r="G509" s="533" t="n"/>
      <c r="H509" s="533" t="n"/>
    </row>
    <row r="510" ht="24" customHeight="1">
      <c r="A510" s="539" t="n"/>
      <c r="B510" s="533" t="n"/>
      <c r="C510" s="533" t="n"/>
      <c r="D510" s="575" t="n"/>
      <c r="E510" s="571" t="n"/>
      <c r="F510" s="571" t="n"/>
      <c r="G510" s="533" t="n"/>
      <c r="H510" s="533" t="n"/>
    </row>
    <row r="511" ht="24" customHeight="1">
      <c r="A511" s="539" t="n"/>
      <c r="B511" s="533" t="n"/>
      <c r="C511" s="533" t="n"/>
      <c r="D511" s="575" t="n"/>
      <c r="E511" s="571" t="n"/>
      <c r="F511" s="571" t="n"/>
      <c r="G511" s="533" t="n"/>
      <c r="H511" s="533" t="n"/>
    </row>
    <row r="512" ht="24" customHeight="1">
      <c r="A512" s="539" t="n"/>
      <c r="B512" s="533" t="n"/>
      <c r="C512" s="533" t="n"/>
      <c r="D512" s="575" t="n"/>
      <c r="E512" s="571" t="n"/>
      <c r="F512" s="571" t="n"/>
      <c r="G512" s="533" t="n"/>
      <c r="H512" s="533" t="n"/>
    </row>
    <row r="513" ht="24" customHeight="1">
      <c r="A513" s="539" t="n"/>
      <c r="B513" s="533" t="n"/>
      <c r="C513" s="533" t="n"/>
      <c r="D513" s="575" t="n"/>
      <c r="E513" s="571" t="n"/>
      <c r="F513" s="571" t="n"/>
      <c r="G513" s="533" t="n"/>
      <c r="H513" s="533" t="n"/>
    </row>
    <row r="514" ht="24" customHeight="1">
      <c r="A514" s="539" t="n"/>
      <c r="B514" s="533" t="n"/>
      <c r="C514" s="533" t="n"/>
      <c r="D514" s="575" t="n"/>
      <c r="E514" s="571" t="n"/>
      <c r="F514" s="571" t="n"/>
      <c r="G514" s="533" t="n"/>
      <c r="H514" s="533" t="n"/>
    </row>
    <row r="515" ht="24" customHeight="1">
      <c r="A515" s="539" t="n"/>
      <c r="B515" s="533" t="n"/>
      <c r="C515" s="533" t="n"/>
      <c r="D515" s="575" t="n"/>
      <c r="E515" s="571" t="n"/>
      <c r="F515" s="571" t="n"/>
      <c r="G515" s="533" t="n"/>
      <c r="H515" s="533" t="n"/>
    </row>
    <row r="516" ht="24" customHeight="1">
      <c r="A516" s="539" t="n"/>
      <c r="B516" s="533" t="n"/>
      <c r="C516" s="533" t="n"/>
      <c r="D516" s="575" t="n"/>
      <c r="E516" s="571" t="n"/>
      <c r="F516" s="571" t="n"/>
      <c r="G516" s="533" t="n"/>
      <c r="H516" s="533" t="n"/>
    </row>
    <row r="517" ht="24" customHeight="1">
      <c r="A517" s="539" t="n"/>
      <c r="B517" s="533" t="n"/>
      <c r="C517" s="533" t="n"/>
      <c r="D517" s="575" t="n"/>
      <c r="E517" s="571" t="n"/>
      <c r="F517" s="571" t="n"/>
      <c r="G517" s="533" t="n"/>
      <c r="H517" s="533" t="n"/>
    </row>
    <row r="518" ht="24" customHeight="1">
      <c r="A518" s="539" t="n"/>
      <c r="B518" s="533" t="n"/>
      <c r="C518" s="533" t="n"/>
      <c r="D518" s="575" t="n"/>
      <c r="E518" s="571" t="n"/>
      <c r="F518" s="571" t="n"/>
      <c r="G518" s="533" t="n"/>
      <c r="H518" s="533" t="n"/>
    </row>
    <row r="519" ht="24" customHeight="1">
      <c r="A519" s="539" t="n"/>
      <c r="B519" s="533" t="n"/>
      <c r="C519" s="533" t="n"/>
      <c r="D519" s="575" t="n"/>
      <c r="E519" s="571" t="n"/>
      <c r="F519" s="571" t="n"/>
      <c r="G519" s="533" t="n"/>
      <c r="H519" s="533" t="n"/>
    </row>
    <row r="520" ht="24" customHeight="1">
      <c r="A520" s="539" t="n"/>
      <c r="B520" s="533" t="n"/>
      <c r="C520" s="533" t="n"/>
      <c r="D520" s="575" t="n"/>
      <c r="E520" s="571" t="n"/>
      <c r="F520" s="571" t="n"/>
      <c r="G520" s="533" t="n"/>
      <c r="H520" s="533" t="n"/>
    </row>
    <row r="521" ht="24" customHeight="1">
      <c r="A521" s="539" t="n"/>
      <c r="B521" s="533" t="n"/>
      <c r="C521" s="533" t="n"/>
      <c r="D521" s="575" t="n"/>
      <c r="E521" s="571" t="n"/>
      <c r="F521" s="571" t="n"/>
      <c r="G521" s="533" t="n"/>
      <c r="H521" s="533" t="n"/>
    </row>
    <row r="522" ht="24" customHeight="1">
      <c r="A522" s="539" t="n"/>
      <c r="B522" s="533" t="n"/>
      <c r="C522" s="533" t="n"/>
      <c r="D522" s="575" t="n"/>
      <c r="E522" s="571" t="n"/>
      <c r="F522" s="571" t="n"/>
      <c r="G522" s="533" t="n"/>
      <c r="H522" s="533" t="n"/>
    </row>
    <row r="523" ht="24" customHeight="1">
      <c r="A523" s="539" t="n"/>
      <c r="B523" s="533" t="n"/>
      <c r="C523" s="533" t="n"/>
      <c r="D523" s="575" t="n"/>
      <c r="E523" s="571" t="n"/>
      <c r="F523" s="571" t="n"/>
      <c r="G523" s="533" t="n"/>
      <c r="H523" s="533" t="n"/>
    </row>
    <row r="524" ht="24" customHeight="1">
      <c r="A524" s="539" t="n"/>
      <c r="B524" s="533" t="n"/>
      <c r="C524" s="533" t="n"/>
      <c r="D524" s="575" t="n"/>
      <c r="E524" s="571" t="n"/>
      <c r="F524" s="571" t="n"/>
      <c r="G524" s="533" t="n"/>
      <c r="H524" s="533" t="n"/>
    </row>
    <row r="525" ht="24" customHeight="1">
      <c r="A525" s="539" t="n"/>
      <c r="B525" s="533" t="n"/>
      <c r="C525" s="533" t="n"/>
      <c r="D525" s="575" t="n"/>
      <c r="E525" s="571" t="n"/>
      <c r="F525" s="571" t="n"/>
      <c r="G525" s="533" t="n"/>
      <c r="H525" s="533" t="n"/>
    </row>
    <row r="526" ht="24" customHeight="1">
      <c r="A526" s="539" t="n"/>
      <c r="B526" s="533" t="n"/>
      <c r="C526" s="533" t="n"/>
      <c r="D526" s="575" t="n"/>
      <c r="E526" s="571" t="n"/>
      <c r="F526" s="571" t="n"/>
      <c r="G526" s="533" t="n"/>
      <c r="H526" s="533" t="n"/>
    </row>
    <row r="527" ht="24" customHeight="1">
      <c r="A527" s="539" t="n"/>
      <c r="B527" s="533" t="n"/>
      <c r="C527" s="533" t="n"/>
      <c r="D527" s="575" t="n"/>
      <c r="E527" s="571" t="n"/>
      <c r="F527" s="571" t="n"/>
      <c r="G527" s="533" t="n"/>
      <c r="H527" s="533" t="n"/>
    </row>
    <row r="528" ht="24" customHeight="1">
      <c r="A528" s="539" t="n"/>
      <c r="B528" s="533" t="n"/>
      <c r="C528" s="533" t="n"/>
      <c r="D528" s="575" t="n"/>
      <c r="E528" s="571" t="n"/>
      <c r="F528" s="571" t="n"/>
      <c r="G528" s="533" t="n"/>
      <c r="H528" s="533" t="n"/>
    </row>
    <row r="529" ht="24" customHeight="1">
      <c r="A529" s="539" t="n"/>
      <c r="B529" s="533" t="n"/>
      <c r="C529" s="533" t="n"/>
      <c r="D529" s="575" t="n"/>
      <c r="E529" s="571" t="n"/>
      <c r="F529" s="571" t="n"/>
      <c r="G529" s="533" t="n"/>
      <c r="H529" s="533" t="n"/>
    </row>
    <row r="530" ht="24" customHeight="1">
      <c r="A530" s="539" t="n"/>
      <c r="B530" s="533" t="n"/>
      <c r="C530" s="533" t="n"/>
      <c r="D530" s="575" t="n"/>
      <c r="E530" s="571" t="n"/>
      <c r="F530" s="571" t="n"/>
      <c r="G530" s="533" t="n"/>
      <c r="H530" s="533" t="n"/>
    </row>
    <row r="531" ht="24" customHeight="1">
      <c r="A531" s="539" t="n"/>
      <c r="B531" s="533" t="n"/>
      <c r="C531" s="533" t="n"/>
      <c r="D531" s="575" t="n"/>
      <c r="E531" s="571" t="n"/>
      <c r="F531" s="571" t="n"/>
      <c r="G531" s="533" t="n"/>
      <c r="H531" s="533" t="n"/>
    </row>
    <row r="532" ht="24" customHeight="1">
      <c r="A532" s="539" t="n"/>
      <c r="B532" s="533" t="n"/>
      <c r="C532" s="533" t="n"/>
      <c r="D532" s="575" t="n"/>
      <c r="E532" s="571" t="n"/>
      <c r="F532" s="571" t="n"/>
      <c r="G532" s="533" t="n"/>
      <c r="H532" s="533" t="n"/>
    </row>
    <row r="533" ht="24" customHeight="1">
      <c r="A533" s="539" t="n"/>
      <c r="B533" s="533" t="n"/>
      <c r="C533" s="533" t="n"/>
      <c r="D533" s="575" t="n"/>
      <c r="E533" s="571" t="n"/>
      <c r="F533" s="571" t="n"/>
      <c r="G533" s="533" t="n"/>
      <c r="H533" s="533" t="n"/>
    </row>
    <row r="534" ht="24" customHeight="1">
      <c r="A534" s="539" t="n"/>
      <c r="B534" s="533" t="n"/>
      <c r="C534" s="533" t="n"/>
      <c r="D534" s="575" t="n"/>
      <c r="E534" s="571" t="n"/>
      <c r="F534" s="571" t="n"/>
      <c r="G534" s="533" t="n"/>
      <c r="H534" s="533" t="n"/>
    </row>
    <row r="535" ht="24" customHeight="1">
      <c r="A535" s="539" t="n"/>
      <c r="B535" s="533" t="n"/>
      <c r="C535" s="533" t="n"/>
      <c r="D535" s="575" t="n"/>
      <c r="E535" s="571" t="n"/>
      <c r="F535" s="571" t="n"/>
      <c r="G535" s="533" t="n"/>
      <c r="H535" s="533" t="n"/>
    </row>
    <row r="536" ht="24" customHeight="1">
      <c r="A536" s="539" t="n"/>
      <c r="B536" s="533" t="n"/>
      <c r="C536" s="533" t="n"/>
      <c r="D536" s="575" t="n"/>
      <c r="E536" s="571" t="n"/>
      <c r="F536" s="571" t="n"/>
      <c r="G536" s="533" t="n"/>
      <c r="H536" s="533" t="n"/>
    </row>
    <row r="537" ht="24" customHeight="1">
      <c r="A537" s="539" t="n"/>
      <c r="B537" s="533" t="n"/>
      <c r="C537" s="533" t="n"/>
      <c r="D537" s="575" t="n"/>
      <c r="E537" s="571" t="n"/>
      <c r="F537" s="571" t="n"/>
      <c r="G537" s="533" t="n"/>
      <c r="H537" s="533" t="n"/>
    </row>
    <row r="538" ht="24" customHeight="1">
      <c r="A538" s="539" t="n"/>
      <c r="B538" s="533" t="n"/>
      <c r="C538" s="533" t="n"/>
      <c r="D538" s="575" t="n"/>
      <c r="E538" s="571" t="n"/>
      <c r="F538" s="571" t="n"/>
      <c r="G538" s="533" t="n"/>
      <c r="H538" s="533" t="n"/>
    </row>
    <row r="539" ht="24" customHeight="1">
      <c r="A539" s="539" t="n"/>
      <c r="B539" s="533" t="n"/>
      <c r="C539" s="533" t="n"/>
      <c r="D539" s="575" t="n"/>
      <c r="E539" s="571" t="n"/>
      <c r="F539" s="571" t="n"/>
      <c r="G539" s="533" t="n"/>
      <c r="H539" s="533" t="n"/>
    </row>
    <row r="540" ht="24" customHeight="1">
      <c r="A540" s="539" t="n"/>
      <c r="B540" s="533" t="n"/>
      <c r="C540" s="533" t="n"/>
      <c r="D540" s="575" t="n"/>
      <c r="E540" s="571" t="n"/>
      <c r="F540" s="571" t="n"/>
      <c r="G540" s="533" t="n"/>
      <c r="H540" s="533" t="n"/>
    </row>
    <row r="541" ht="24" customHeight="1">
      <c r="A541" s="539" t="n"/>
      <c r="B541" s="533" t="n"/>
      <c r="C541" s="533" t="n"/>
      <c r="D541" s="575" t="n"/>
      <c r="E541" s="571" t="n"/>
      <c r="F541" s="571" t="n"/>
      <c r="G541" s="533" t="n"/>
      <c r="H541" s="533" t="n"/>
    </row>
    <row r="542" ht="24" customHeight="1">
      <c r="A542" s="539" t="n"/>
      <c r="B542" s="533" t="n"/>
      <c r="C542" s="533" t="n"/>
      <c r="D542" s="575" t="n"/>
      <c r="E542" s="571" t="n"/>
      <c r="F542" s="571" t="n"/>
      <c r="G542" s="533" t="n"/>
      <c r="H542" s="533" t="n"/>
    </row>
    <row r="543" ht="24" customHeight="1">
      <c r="A543" s="539" t="n"/>
      <c r="B543" s="533" t="n"/>
      <c r="C543" s="533" t="n"/>
      <c r="D543" s="575" t="n"/>
      <c r="E543" s="571" t="n"/>
      <c r="F543" s="571" t="n"/>
      <c r="G543" s="533" t="n"/>
      <c r="H543" s="533" t="n"/>
    </row>
    <row r="544" ht="24" customHeight="1">
      <c r="A544" s="539" t="n"/>
      <c r="B544" s="533" t="n"/>
      <c r="C544" s="533" t="n"/>
      <c r="D544" s="575" t="n"/>
      <c r="E544" s="571" t="n"/>
      <c r="F544" s="571" t="n"/>
      <c r="G544" s="533" t="n"/>
      <c r="H544" s="533" t="n"/>
    </row>
    <row r="545" ht="24" customHeight="1">
      <c r="A545" s="539" t="n"/>
      <c r="B545" s="533" t="n"/>
      <c r="C545" s="533" t="n"/>
      <c r="D545" s="575" t="n"/>
      <c r="E545" s="571" t="n"/>
      <c r="F545" s="571" t="n"/>
      <c r="G545" s="533" t="n"/>
      <c r="H545" s="533" t="n"/>
    </row>
    <row r="546" ht="24" customHeight="1">
      <c r="A546" s="539" t="n"/>
      <c r="B546" s="533" t="n"/>
      <c r="C546" s="533" t="n"/>
      <c r="D546" s="575" t="n"/>
      <c r="E546" s="571" t="n"/>
      <c r="F546" s="571" t="n"/>
      <c r="G546" s="533" t="n"/>
      <c r="H546" s="533" t="n"/>
    </row>
    <row r="547" ht="24" customHeight="1">
      <c r="A547" s="539" t="n"/>
      <c r="B547" s="533" t="n"/>
      <c r="C547" s="533" t="n"/>
      <c r="D547" s="575" t="n"/>
      <c r="E547" s="571" t="n"/>
      <c r="F547" s="571" t="n"/>
      <c r="G547" s="533" t="n"/>
      <c r="H547" s="533" t="n"/>
    </row>
    <row r="548" ht="24" customHeight="1">
      <c r="A548" s="539" t="n"/>
      <c r="B548" s="533" t="n"/>
      <c r="C548" s="533" t="n"/>
      <c r="D548" s="575" t="n"/>
      <c r="E548" s="571" t="n"/>
      <c r="F548" s="571" t="n"/>
      <c r="G548" s="533" t="n"/>
      <c r="H548" s="533" t="n"/>
    </row>
    <row r="549" ht="24" customHeight="1">
      <c r="A549" s="539" t="n"/>
      <c r="B549" s="533" t="n"/>
      <c r="C549" s="533" t="n"/>
      <c r="D549" s="575" t="n"/>
      <c r="E549" s="571" t="n"/>
      <c r="F549" s="571" t="n"/>
      <c r="G549" s="533" t="n"/>
      <c r="H549" s="533" t="n"/>
    </row>
    <row r="550" ht="24" customHeight="1">
      <c r="A550" s="539" t="n"/>
      <c r="B550" s="533" t="n"/>
      <c r="C550" s="533" t="n"/>
      <c r="D550" s="575" t="n"/>
      <c r="E550" s="571" t="n"/>
      <c r="F550" s="571" t="n"/>
      <c r="G550" s="533" t="n"/>
      <c r="H550" s="533" t="n"/>
    </row>
    <row r="551" ht="24" customHeight="1">
      <c r="A551" s="539" t="n"/>
      <c r="B551" s="533" t="n"/>
      <c r="C551" s="533" t="n"/>
      <c r="D551" s="575" t="n"/>
      <c r="E551" s="571" t="n"/>
      <c r="F551" s="571" t="n"/>
      <c r="G551" s="533" t="n"/>
      <c r="H551" s="533" t="n"/>
    </row>
    <row r="552" ht="24" customHeight="1">
      <c r="A552" s="539" t="n"/>
      <c r="B552" s="533" t="n"/>
      <c r="C552" s="533" t="n"/>
      <c r="D552" s="575" t="n"/>
      <c r="E552" s="571" t="n"/>
      <c r="F552" s="571" t="n"/>
      <c r="G552" s="533" t="n"/>
      <c r="H552" s="533" t="n"/>
    </row>
    <row r="553" ht="24" customHeight="1">
      <c r="A553" s="539" t="n"/>
      <c r="B553" s="533" t="n"/>
      <c r="C553" s="533" t="n"/>
      <c r="D553" s="575" t="n"/>
      <c r="E553" s="571" t="n"/>
      <c r="F553" s="571" t="n"/>
      <c r="G553" s="533" t="n"/>
      <c r="H553" s="533" t="n"/>
    </row>
    <row r="554" ht="24" customHeight="1">
      <c r="A554" s="539" t="n"/>
      <c r="B554" s="533" t="n"/>
      <c r="C554" s="533" t="n"/>
      <c r="D554" s="575" t="n"/>
      <c r="E554" s="571" t="n"/>
      <c r="F554" s="571" t="n"/>
      <c r="G554" s="533" t="n"/>
      <c r="H554" s="533" t="n"/>
    </row>
    <row r="555" ht="24" customHeight="1">
      <c r="A555" s="539" t="n"/>
      <c r="B555" s="533" t="n"/>
      <c r="C555" s="533" t="n"/>
      <c r="D555" s="575" t="n"/>
      <c r="E555" s="571" t="n"/>
      <c r="F555" s="571" t="n"/>
      <c r="G555" s="533" t="n"/>
      <c r="H555" s="533" t="n"/>
    </row>
    <row r="556" ht="24" customHeight="1">
      <c r="A556" s="539" t="n"/>
      <c r="B556" s="533" t="n"/>
      <c r="C556" s="533" t="n"/>
      <c r="D556" s="575" t="n"/>
      <c r="E556" s="571" t="n"/>
      <c r="F556" s="571" t="n"/>
      <c r="G556" s="533" t="n"/>
      <c r="H556" s="533" t="n"/>
    </row>
    <row r="557" ht="24" customHeight="1">
      <c r="A557" s="539" t="n"/>
      <c r="B557" s="533" t="n"/>
      <c r="C557" s="533" t="n"/>
      <c r="D557" s="575" t="n"/>
      <c r="E557" s="571" t="n"/>
      <c r="F557" s="571" t="n"/>
      <c r="G557" s="533" t="n"/>
      <c r="H557" s="533" t="n"/>
    </row>
    <row r="558" ht="24" customHeight="1">
      <c r="A558" s="539" t="n"/>
      <c r="B558" s="533" t="n"/>
      <c r="C558" s="533" t="n"/>
      <c r="D558" s="575" t="n"/>
      <c r="E558" s="571" t="n"/>
      <c r="F558" s="571" t="n"/>
      <c r="G558" s="533" t="n"/>
      <c r="H558" s="533" t="n"/>
    </row>
    <row r="559" ht="24" customHeight="1">
      <c r="A559" s="539" t="n"/>
      <c r="B559" s="533" t="n"/>
      <c r="C559" s="533" t="n"/>
      <c r="D559" s="575" t="n"/>
      <c r="E559" s="571" t="n"/>
      <c r="F559" s="571" t="n"/>
      <c r="G559" s="533" t="n"/>
      <c r="H559" s="533" t="n"/>
    </row>
    <row r="560" ht="24" customHeight="1">
      <c r="A560" s="539" t="n"/>
      <c r="B560" s="533" t="n"/>
      <c r="C560" s="533" t="n"/>
      <c r="D560" s="575" t="n"/>
      <c r="E560" s="571" t="n"/>
      <c r="F560" s="571" t="n"/>
      <c r="G560" s="533" t="n"/>
      <c r="H560" s="533" t="n"/>
    </row>
    <row r="561" ht="24" customHeight="1">
      <c r="A561" s="539" t="n"/>
      <c r="B561" s="533" t="n"/>
      <c r="C561" s="533" t="n"/>
      <c r="D561" s="575" t="n"/>
      <c r="E561" s="571" t="n"/>
      <c r="F561" s="571" t="n"/>
      <c r="G561" s="533" t="n"/>
      <c r="H561" s="533" t="n"/>
    </row>
    <row r="562" ht="24" customHeight="1">
      <c r="A562" s="539" t="n"/>
      <c r="B562" s="533" t="n"/>
      <c r="C562" s="533" t="n"/>
      <c r="D562" s="575" t="n"/>
      <c r="E562" s="571" t="n"/>
      <c r="F562" s="571" t="n"/>
      <c r="G562" s="533" t="n"/>
      <c r="H562" s="533" t="n"/>
    </row>
    <row r="563" ht="24" customHeight="1">
      <c r="A563" s="539" t="n"/>
      <c r="B563" s="533" t="n"/>
      <c r="C563" s="533" t="n"/>
      <c r="D563" s="575" t="n"/>
      <c r="E563" s="571" t="n"/>
      <c r="F563" s="571" t="n"/>
      <c r="G563" s="533" t="n"/>
      <c r="H563" s="533" t="n"/>
    </row>
    <row r="564" ht="24" customHeight="1">
      <c r="A564" s="539" t="n"/>
      <c r="B564" s="533" t="n"/>
      <c r="C564" s="533" t="n"/>
      <c r="D564" s="575" t="n"/>
      <c r="E564" s="571" t="n"/>
      <c r="F564" s="571" t="n"/>
      <c r="G564" s="533" t="n"/>
      <c r="H564" s="533" t="n"/>
    </row>
    <row r="565" ht="24" customHeight="1">
      <c r="A565" s="539" t="n"/>
      <c r="B565" s="533" t="n"/>
      <c r="C565" s="533" t="n"/>
      <c r="D565" s="575" t="n"/>
      <c r="E565" s="571" t="n"/>
      <c r="F565" s="571" t="n"/>
      <c r="G565" s="533" t="n"/>
      <c r="H565" s="533" t="n"/>
    </row>
    <row r="566" ht="24" customHeight="1">
      <c r="A566" s="539" t="n"/>
      <c r="B566" s="533" t="n"/>
      <c r="C566" s="533" t="n"/>
      <c r="D566" s="575" t="n"/>
      <c r="E566" s="571" t="n"/>
      <c r="F566" s="571" t="n"/>
      <c r="G566" s="533" t="n"/>
      <c r="H566" s="533" t="n"/>
    </row>
    <row r="567" ht="24" customHeight="1">
      <c r="A567" s="539" t="n"/>
      <c r="B567" s="533" t="n"/>
      <c r="C567" s="533" t="n"/>
      <c r="D567" s="575" t="n"/>
      <c r="E567" s="571" t="n"/>
      <c r="F567" s="571" t="n"/>
      <c r="G567" s="533" t="n"/>
      <c r="H567" s="533" t="n"/>
    </row>
    <row r="568" ht="24" customHeight="1">
      <c r="A568" s="539" t="n"/>
      <c r="B568" s="533" t="n"/>
      <c r="C568" s="533" t="n"/>
      <c r="D568" s="575" t="n"/>
      <c r="E568" s="571" t="n"/>
      <c r="F568" s="571" t="n"/>
      <c r="G568" s="533" t="n"/>
      <c r="H568" s="533" t="n"/>
    </row>
    <row r="569" ht="24" customHeight="1">
      <c r="A569" s="539" t="n"/>
      <c r="B569" s="533" t="n"/>
      <c r="C569" s="533" t="n"/>
      <c r="D569" s="575" t="n"/>
      <c r="E569" s="571" t="n"/>
      <c r="F569" s="571" t="n"/>
      <c r="G569" s="533" t="n"/>
      <c r="H569" s="533" t="n"/>
    </row>
    <row r="570" ht="24" customHeight="1">
      <c r="A570" s="539" t="n"/>
      <c r="B570" s="533" t="n"/>
      <c r="C570" s="533" t="n"/>
      <c r="D570" s="575" t="n"/>
      <c r="E570" s="571" t="n"/>
      <c r="F570" s="571" t="n"/>
      <c r="G570" s="533" t="n"/>
      <c r="H570" s="533" t="n"/>
    </row>
    <row r="571" ht="24" customHeight="1">
      <c r="A571" s="539" t="n"/>
      <c r="B571" s="533" t="n"/>
      <c r="C571" s="533" t="n"/>
      <c r="D571" s="575" t="n"/>
      <c r="E571" s="571" t="n"/>
      <c r="F571" s="571" t="n"/>
      <c r="G571" s="533" t="n"/>
      <c r="H571" s="533" t="n"/>
    </row>
    <row r="572" ht="24" customHeight="1">
      <c r="A572" s="539" t="n"/>
      <c r="B572" s="533" t="n"/>
      <c r="C572" s="533" t="n"/>
      <c r="D572" s="575" t="n"/>
      <c r="E572" s="571" t="n"/>
      <c r="F572" s="571" t="n"/>
      <c r="G572" s="533" t="n"/>
      <c r="H572" s="533" t="n"/>
    </row>
    <row r="573" ht="24" customHeight="1">
      <c r="A573" s="539" t="n"/>
      <c r="B573" s="533" t="n"/>
      <c r="C573" s="533" t="n"/>
      <c r="D573" s="575" t="n"/>
      <c r="E573" s="571" t="n"/>
      <c r="F573" s="571" t="n"/>
      <c r="G573" s="533" t="n"/>
      <c r="H573" s="533" t="n"/>
    </row>
    <row r="574" ht="24" customHeight="1">
      <c r="A574" s="539" t="n"/>
      <c r="B574" s="533" t="n"/>
      <c r="C574" s="533" t="n"/>
      <c r="D574" s="575" t="n"/>
      <c r="E574" s="571" t="n"/>
      <c r="F574" s="571" t="n"/>
      <c r="G574" s="533" t="n"/>
      <c r="H574" s="533" t="n"/>
    </row>
    <row r="575" ht="24" customHeight="1">
      <c r="A575" s="539" t="n"/>
      <c r="B575" s="533" t="n"/>
      <c r="C575" s="533" t="n"/>
      <c r="D575" s="575" t="n"/>
      <c r="E575" s="571" t="n"/>
      <c r="F575" s="571" t="n"/>
      <c r="G575" s="533" t="n"/>
      <c r="H575" s="533" t="n"/>
    </row>
    <row r="576" ht="24" customHeight="1">
      <c r="A576" s="539" t="n"/>
      <c r="B576" s="533" t="n"/>
      <c r="C576" s="533" t="n"/>
      <c r="D576" s="575" t="n"/>
      <c r="E576" s="571" t="n"/>
      <c r="F576" s="571" t="n"/>
      <c r="G576" s="533" t="n"/>
      <c r="H576" s="533" t="n"/>
    </row>
    <row r="577" ht="24" customHeight="1">
      <c r="A577" s="539" t="n"/>
      <c r="B577" s="533" t="n"/>
      <c r="C577" s="533" t="n"/>
      <c r="D577" s="575" t="n"/>
      <c r="E577" s="571" t="n"/>
      <c r="F577" s="571" t="n"/>
      <c r="G577" s="533" t="n"/>
      <c r="H577" s="533" t="n"/>
    </row>
    <row r="578" ht="24" customHeight="1">
      <c r="A578" s="539" t="n"/>
      <c r="B578" s="533" t="n"/>
      <c r="C578" s="533" t="n"/>
      <c r="D578" s="575" t="n"/>
      <c r="E578" s="571" t="n"/>
      <c r="F578" s="571" t="n"/>
      <c r="G578" s="533" t="n"/>
      <c r="H578" s="533" t="n"/>
    </row>
    <row r="579" ht="24" customHeight="1">
      <c r="A579" s="539" t="n"/>
      <c r="B579" s="533" t="n"/>
      <c r="C579" s="533" t="n"/>
      <c r="D579" s="575" t="n"/>
      <c r="E579" s="571" t="n"/>
      <c r="F579" s="571" t="n"/>
      <c r="G579" s="533" t="n"/>
      <c r="H579" s="533" t="n"/>
    </row>
    <row r="580" ht="24" customHeight="1">
      <c r="A580" s="539" t="n"/>
      <c r="B580" s="533" t="n"/>
      <c r="C580" s="533" t="n"/>
      <c r="D580" s="575" t="n"/>
      <c r="E580" s="571" t="n"/>
      <c r="F580" s="571" t="n"/>
      <c r="G580" s="533" t="n"/>
      <c r="H580" s="533" t="n"/>
    </row>
    <row r="581" ht="24" customHeight="1">
      <c r="A581" s="539" t="n"/>
      <c r="B581" s="533" t="n"/>
      <c r="C581" s="533" t="n"/>
      <c r="D581" s="575" t="n"/>
      <c r="E581" s="571" t="n"/>
      <c r="F581" s="571" t="n"/>
      <c r="G581" s="533" t="n"/>
      <c r="H581" s="533" t="n"/>
    </row>
    <row r="582" ht="24" customHeight="1">
      <c r="A582" s="539" t="n"/>
      <c r="B582" s="533" t="n"/>
      <c r="C582" s="533" t="n"/>
      <c r="D582" s="575" t="n"/>
      <c r="E582" s="571" t="n"/>
      <c r="F582" s="571" t="n"/>
      <c r="G582" s="533" t="n"/>
      <c r="H582" s="533" t="n"/>
    </row>
    <row r="583" ht="24" customHeight="1">
      <c r="A583" s="539" t="n"/>
      <c r="B583" s="533" t="n"/>
      <c r="C583" s="533" t="n"/>
      <c r="D583" s="575" t="n"/>
      <c r="E583" s="571" t="n"/>
      <c r="F583" s="571" t="n"/>
      <c r="G583" s="533" t="n"/>
      <c r="H583" s="533" t="n"/>
    </row>
    <row r="584" ht="24" customHeight="1">
      <c r="A584" s="539" t="n"/>
      <c r="B584" s="533" t="n"/>
      <c r="C584" s="533" t="n"/>
      <c r="D584" s="575" t="n"/>
      <c r="E584" s="571" t="n"/>
      <c r="F584" s="571" t="n"/>
      <c r="G584" s="533" t="n"/>
      <c r="H584" s="533" t="n"/>
    </row>
    <row r="585" ht="24" customHeight="1">
      <c r="A585" s="539" t="n"/>
      <c r="B585" s="533" t="n"/>
      <c r="C585" s="533" t="n"/>
      <c r="D585" s="575" t="n"/>
      <c r="E585" s="571" t="n"/>
      <c r="F585" s="571" t="n"/>
      <c r="G585" s="533" t="n"/>
      <c r="H585" s="533" t="n"/>
    </row>
    <row r="586" ht="24" customHeight="1">
      <c r="A586" s="539" t="n"/>
      <c r="B586" s="533" t="n"/>
      <c r="C586" s="533" t="n"/>
      <c r="D586" s="575" t="n"/>
      <c r="E586" s="571" t="n"/>
      <c r="F586" s="571" t="n"/>
      <c r="G586" s="533" t="n"/>
      <c r="H586" s="533" t="n"/>
    </row>
    <row r="587" ht="24" customHeight="1">
      <c r="A587" s="539" t="n"/>
      <c r="B587" s="533" t="n"/>
      <c r="C587" s="533" t="n"/>
      <c r="D587" s="575" t="n"/>
      <c r="E587" s="571" t="n"/>
      <c r="F587" s="571" t="n"/>
      <c r="G587" s="533" t="n"/>
      <c r="H587" s="533" t="n"/>
    </row>
    <row r="588" ht="24" customHeight="1">
      <c r="A588" s="539" t="n"/>
      <c r="B588" s="533" t="n"/>
      <c r="C588" s="533" t="n"/>
      <c r="D588" s="575" t="n"/>
      <c r="E588" s="571" t="n"/>
      <c r="F588" s="571" t="n"/>
      <c r="G588" s="533" t="n"/>
      <c r="H588" s="533" t="n"/>
    </row>
    <row r="589" ht="24" customHeight="1">
      <c r="A589" s="539" t="n"/>
      <c r="B589" s="533" t="n"/>
      <c r="C589" s="533" t="n"/>
      <c r="D589" s="575" t="n"/>
      <c r="E589" s="571" t="n"/>
      <c r="F589" s="571" t="n"/>
      <c r="G589" s="533" t="n"/>
      <c r="H589" s="533" t="n"/>
    </row>
    <row r="590" ht="24" customHeight="1">
      <c r="A590" s="539" t="n"/>
      <c r="B590" s="533" t="n"/>
      <c r="C590" s="533" t="n"/>
      <c r="D590" s="575" t="n"/>
      <c r="E590" s="571" t="n"/>
      <c r="F590" s="571" t="n"/>
      <c r="G590" s="533" t="n"/>
      <c r="H590" s="533" t="n"/>
    </row>
    <row r="591" ht="24" customHeight="1">
      <c r="A591" s="539" t="n"/>
      <c r="B591" s="533" t="n"/>
      <c r="C591" s="533" t="n"/>
      <c r="D591" s="575" t="n"/>
      <c r="E591" s="571" t="n"/>
      <c r="F591" s="571" t="n"/>
      <c r="G591" s="533" t="n"/>
      <c r="H591" s="533" t="n"/>
    </row>
    <row r="592" ht="24" customHeight="1">
      <c r="A592" s="539" t="n"/>
      <c r="B592" s="533" t="n"/>
      <c r="C592" s="533" t="n"/>
      <c r="D592" s="575" t="n"/>
      <c r="E592" s="571" t="n"/>
      <c r="F592" s="571" t="n"/>
      <c r="G592" s="533" t="n"/>
      <c r="H592" s="533" t="n"/>
    </row>
    <row r="593" ht="24" customHeight="1">
      <c r="A593" s="539" t="n"/>
      <c r="B593" s="533" t="n"/>
      <c r="C593" s="533" t="n"/>
      <c r="D593" s="575" t="n"/>
      <c r="E593" s="571" t="n"/>
      <c r="F593" s="571" t="n"/>
      <c r="G593" s="533" t="n"/>
      <c r="H593" s="533" t="n"/>
    </row>
    <row r="594" ht="24" customHeight="1">
      <c r="A594" s="539" t="n"/>
      <c r="B594" s="533" t="n"/>
      <c r="C594" s="533" t="n"/>
      <c r="D594" s="575" t="n"/>
      <c r="E594" s="571" t="n"/>
      <c r="F594" s="571" t="n"/>
      <c r="G594" s="533" t="n"/>
      <c r="H594" s="533" t="n"/>
    </row>
    <row r="595" ht="24" customHeight="1">
      <c r="A595" s="539" t="n"/>
      <c r="B595" s="533" t="n"/>
      <c r="C595" s="533" t="n"/>
      <c r="D595" s="575" t="n"/>
      <c r="E595" s="571" t="n"/>
      <c r="F595" s="571" t="n"/>
      <c r="G595" s="533" t="n"/>
      <c r="H595" s="533" t="n"/>
    </row>
    <row r="596" ht="24" customHeight="1">
      <c r="A596" s="539" t="n"/>
      <c r="B596" s="533" t="n"/>
      <c r="C596" s="533" t="n"/>
      <c r="D596" s="575" t="n"/>
      <c r="E596" s="571" t="n"/>
      <c r="F596" s="571" t="n"/>
      <c r="G596" s="533" t="n"/>
      <c r="H596" s="533" t="n"/>
    </row>
    <row r="597" ht="24" customHeight="1">
      <c r="A597" s="539" t="n"/>
      <c r="B597" s="533" t="n"/>
      <c r="C597" s="533" t="n"/>
      <c r="D597" s="575" t="n"/>
      <c r="E597" s="571" t="n"/>
      <c r="F597" s="571" t="n"/>
      <c r="G597" s="533" t="n"/>
      <c r="H597" s="533" t="n"/>
    </row>
    <row r="598" ht="24" customHeight="1">
      <c r="A598" s="539" t="n"/>
      <c r="B598" s="533" t="n"/>
      <c r="C598" s="533" t="n"/>
      <c r="D598" s="575" t="n"/>
      <c r="E598" s="571" t="n"/>
      <c r="F598" s="571" t="n"/>
      <c r="G598" s="533" t="n"/>
      <c r="H598" s="533" t="n"/>
    </row>
    <row r="599" ht="24" customHeight="1">
      <c r="A599" s="539" t="n"/>
      <c r="B599" s="533" t="n"/>
      <c r="C599" s="533" t="n"/>
      <c r="D599" s="575" t="n"/>
      <c r="E599" s="571" t="n"/>
      <c r="F599" s="571" t="n"/>
      <c r="G599" s="533" t="n"/>
      <c r="H599" s="533" t="n"/>
    </row>
    <row r="600" ht="24" customHeight="1">
      <c r="A600" s="539" t="n"/>
      <c r="B600" s="533" t="n"/>
      <c r="C600" s="533" t="n"/>
      <c r="D600" s="575" t="n"/>
      <c r="E600" s="571" t="n"/>
      <c r="F600" s="571" t="n"/>
      <c r="G600" s="533" t="n"/>
      <c r="H600" s="533" t="n"/>
    </row>
    <row r="601" ht="24" customHeight="1">
      <c r="A601" s="539" t="n"/>
      <c r="B601" s="533" t="n"/>
      <c r="C601" s="533" t="n"/>
      <c r="D601" s="575" t="n"/>
      <c r="E601" s="571" t="n"/>
      <c r="F601" s="571" t="n"/>
      <c r="G601" s="533" t="n"/>
      <c r="H601" s="533" t="n"/>
    </row>
    <row r="602" ht="24" customHeight="1">
      <c r="A602" s="539" t="n"/>
      <c r="B602" s="533" t="n"/>
      <c r="C602" s="533" t="n"/>
      <c r="D602" s="575" t="n"/>
      <c r="E602" s="571" t="n"/>
      <c r="F602" s="571" t="n"/>
      <c r="G602" s="533" t="n"/>
      <c r="H602" s="533" t="n"/>
    </row>
    <row r="603" ht="24" customHeight="1">
      <c r="A603" s="539" t="n"/>
      <c r="B603" s="533" t="n"/>
      <c r="C603" s="533" t="n"/>
      <c r="D603" s="575" t="n"/>
      <c r="E603" s="571" t="n"/>
      <c r="F603" s="571" t="n"/>
      <c r="G603" s="533" t="n"/>
      <c r="H603" s="533" t="n"/>
    </row>
    <row r="604" ht="24" customHeight="1">
      <c r="A604" s="539" t="n"/>
      <c r="B604" s="533" t="n"/>
      <c r="C604" s="533" t="n"/>
      <c r="D604" s="575" t="n"/>
      <c r="E604" s="571" t="n"/>
      <c r="F604" s="571" t="n"/>
      <c r="G604" s="533" t="n"/>
      <c r="H604" s="533" t="n"/>
    </row>
    <row r="605" ht="24" customHeight="1">
      <c r="A605" s="539" t="n"/>
      <c r="B605" s="533" t="n"/>
      <c r="C605" s="533" t="n"/>
      <c r="D605" s="575" t="n"/>
      <c r="E605" s="571" t="n"/>
      <c r="F605" s="571" t="n"/>
      <c r="G605" s="533" t="n"/>
      <c r="H605" s="533" t="n"/>
    </row>
    <row r="606" ht="24" customHeight="1">
      <c r="A606" s="539" t="n"/>
      <c r="B606" s="533" t="n"/>
      <c r="C606" s="533" t="n"/>
      <c r="D606" s="575" t="n"/>
      <c r="E606" s="571" t="n"/>
      <c r="F606" s="571" t="n"/>
      <c r="G606" s="533" t="n"/>
      <c r="H606" s="533" t="n"/>
    </row>
    <row r="607" ht="24" customHeight="1">
      <c r="A607" s="539" t="n"/>
      <c r="B607" s="533" t="n"/>
      <c r="C607" s="533" t="n"/>
      <c r="D607" s="575" t="n"/>
      <c r="E607" s="571" t="n"/>
      <c r="F607" s="571" t="n"/>
      <c r="G607" s="533" t="n"/>
      <c r="H607" s="533" t="n"/>
    </row>
    <row r="608" ht="24" customHeight="1">
      <c r="A608" s="539" t="n"/>
      <c r="B608" s="533" t="n"/>
      <c r="C608" s="533" t="n"/>
      <c r="D608" s="575" t="n"/>
      <c r="E608" s="571" t="n"/>
      <c r="F608" s="571" t="n"/>
      <c r="G608" s="533" t="n"/>
      <c r="H608" s="533" t="n"/>
    </row>
    <row r="609" ht="24" customHeight="1">
      <c r="A609" s="539" t="n"/>
      <c r="B609" s="533" t="n"/>
      <c r="C609" s="533" t="n"/>
      <c r="D609" s="575" t="n"/>
      <c r="E609" s="571" t="n"/>
      <c r="F609" s="571" t="n"/>
      <c r="G609" s="533" t="n"/>
      <c r="H609" s="533" t="n"/>
    </row>
    <row r="610" ht="24" customHeight="1">
      <c r="A610" s="539" t="n"/>
      <c r="B610" s="533" t="n"/>
      <c r="C610" s="533" t="n"/>
      <c r="D610" s="575" t="n"/>
      <c r="E610" s="571" t="n"/>
      <c r="F610" s="571" t="n"/>
      <c r="G610" s="533" t="n"/>
      <c r="H610" s="533" t="n"/>
    </row>
    <row r="611" ht="24" customHeight="1">
      <c r="A611" s="539" t="n"/>
      <c r="B611" s="533" t="n"/>
      <c r="C611" s="533" t="n"/>
      <c r="D611" s="575" t="n"/>
      <c r="E611" s="571" t="n"/>
      <c r="F611" s="571" t="n"/>
      <c r="G611" s="533" t="n"/>
      <c r="H611" s="533" t="n"/>
    </row>
    <row r="612" ht="24" customHeight="1">
      <c r="A612" s="539" t="n"/>
      <c r="B612" s="533" t="n"/>
      <c r="C612" s="533" t="n"/>
      <c r="D612" s="575" t="n"/>
      <c r="E612" s="571" t="n"/>
      <c r="F612" s="571" t="n"/>
      <c r="G612" s="533" t="n"/>
      <c r="H612" s="533" t="n"/>
    </row>
    <row r="613" ht="24" customHeight="1">
      <c r="A613" s="539" t="n"/>
      <c r="B613" s="533" t="n"/>
      <c r="C613" s="533" t="n"/>
      <c r="D613" s="575" t="n"/>
      <c r="E613" s="571" t="n"/>
      <c r="F613" s="571" t="n"/>
      <c r="G613" s="533" t="n"/>
      <c r="H613" s="533" t="n"/>
    </row>
    <row r="614" ht="24" customHeight="1">
      <c r="A614" s="539" t="n"/>
      <c r="B614" s="533" t="n"/>
      <c r="C614" s="533" t="n"/>
      <c r="D614" s="575" t="n"/>
      <c r="E614" s="571" t="n"/>
      <c r="F614" s="571" t="n"/>
      <c r="G614" s="533" t="n"/>
      <c r="H614" s="533" t="n"/>
    </row>
    <row r="615" ht="24" customHeight="1">
      <c r="A615" s="539" t="n"/>
      <c r="B615" s="533" t="n"/>
      <c r="C615" s="533" t="n"/>
      <c r="D615" s="575" t="n"/>
      <c r="E615" s="571" t="n"/>
      <c r="F615" s="571" t="n"/>
      <c r="G615" s="533" t="n"/>
      <c r="H615" s="533" t="n"/>
    </row>
    <row r="616" ht="24" customHeight="1">
      <c r="A616" s="539" t="n"/>
      <c r="B616" s="533" t="n"/>
      <c r="C616" s="533" t="n"/>
      <c r="D616" s="575" t="n"/>
      <c r="E616" s="571" t="n"/>
      <c r="F616" s="571" t="n"/>
      <c r="G616" s="533" t="n"/>
      <c r="H616" s="533" t="n"/>
    </row>
    <row r="617" ht="24" customHeight="1">
      <c r="A617" s="539" t="n"/>
      <c r="B617" s="533" t="n"/>
      <c r="C617" s="533" t="n"/>
      <c r="D617" s="575" t="n"/>
      <c r="E617" s="571" t="n"/>
      <c r="F617" s="571" t="n"/>
      <c r="G617" s="533" t="n"/>
      <c r="H617" s="533" t="n"/>
    </row>
    <row r="618" ht="24" customHeight="1">
      <c r="A618" s="539" t="n"/>
      <c r="B618" s="533" t="n"/>
      <c r="C618" s="533" t="n"/>
      <c r="D618" s="575" t="n"/>
      <c r="E618" s="571" t="n"/>
      <c r="F618" s="571" t="n"/>
      <c r="G618" s="533" t="n"/>
      <c r="H618" s="533" t="n"/>
    </row>
    <row r="619" ht="24" customHeight="1">
      <c r="A619" s="539" t="n"/>
      <c r="B619" s="533" t="n"/>
      <c r="C619" s="533" t="n"/>
      <c r="D619" s="575" t="n"/>
      <c r="E619" s="571" t="n"/>
      <c r="F619" s="571" t="n"/>
      <c r="G619" s="533" t="n"/>
      <c r="H619" s="533" t="n"/>
    </row>
    <row r="620" ht="24" customHeight="1">
      <c r="A620" s="539" t="n"/>
      <c r="B620" s="533" t="n"/>
      <c r="C620" s="533" t="n"/>
      <c r="D620" s="575" t="n"/>
      <c r="E620" s="571" t="n"/>
      <c r="F620" s="571" t="n"/>
      <c r="G620" s="533" t="n"/>
      <c r="H620" s="533" t="n"/>
    </row>
    <row r="621" ht="24" customHeight="1">
      <c r="A621" s="539" t="n"/>
      <c r="B621" s="533" t="n"/>
      <c r="C621" s="533" t="n"/>
      <c r="D621" s="575" t="n"/>
      <c r="E621" s="571" t="n"/>
      <c r="F621" s="571" t="n"/>
      <c r="G621" s="533" t="n"/>
      <c r="H621" s="533" t="n"/>
    </row>
    <row r="622" ht="24" customHeight="1">
      <c r="A622" s="539" t="n"/>
      <c r="B622" s="533" t="n"/>
      <c r="C622" s="533" t="n"/>
      <c r="D622" s="575" t="n"/>
      <c r="E622" s="571" t="n"/>
      <c r="F622" s="571" t="n"/>
      <c r="G622" s="533" t="n"/>
      <c r="H622" s="533" t="n"/>
    </row>
    <row r="623" ht="24" customHeight="1">
      <c r="A623" s="539" t="n"/>
      <c r="B623" s="533" t="n"/>
      <c r="C623" s="533" t="n"/>
      <c r="D623" s="575" t="n"/>
      <c r="E623" s="571" t="n"/>
      <c r="F623" s="571" t="n"/>
      <c r="G623" s="533" t="n"/>
      <c r="H623" s="533" t="n"/>
    </row>
    <row r="624" ht="24" customHeight="1">
      <c r="A624" s="539" t="n"/>
      <c r="B624" s="533" t="n"/>
      <c r="C624" s="533" t="n"/>
      <c r="D624" s="575" t="n"/>
      <c r="E624" s="571" t="n"/>
      <c r="F624" s="571" t="n"/>
      <c r="G624" s="533" t="n"/>
      <c r="H624" s="533" t="n"/>
    </row>
    <row r="625" ht="24" customHeight="1">
      <c r="A625" s="539" t="n"/>
      <c r="B625" s="533" t="n"/>
      <c r="C625" s="533" t="n"/>
      <c r="D625" s="575" t="n"/>
      <c r="E625" s="571" t="n"/>
      <c r="F625" s="571" t="n"/>
      <c r="G625" s="533" t="n"/>
      <c r="H625" s="533" t="n"/>
    </row>
    <row r="626" ht="24" customHeight="1">
      <c r="A626" s="539" t="n"/>
      <c r="B626" s="533" t="n"/>
      <c r="C626" s="533" t="n"/>
      <c r="D626" s="575" t="n"/>
      <c r="E626" s="571" t="n"/>
      <c r="F626" s="571" t="n"/>
      <c r="G626" s="533" t="n"/>
      <c r="H626" s="533" t="n"/>
    </row>
    <row r="627" ht="24" customHeight="1">
      <c r="A627" s="539" t="n"/>
      <c r="B627" s="533" t="n"/>
      <c r="C627" s="533" t="n"/>
      <c r="D627" s="575" t="n"/>
      <c r="E627" s="571" t="n"/>
      <c r="F627" s="571" t="n"/>
      <c r="G627" s="533" t="n"/>
      <c r="H627" s="533" t="n"/>
    </row>
    <row r="628" ht="24" customHeight="1">
      <c r="A628" s="539" t="n"/>
      <c r="B628" s="533" t="n"/>
      <c r="C628" s="533" t="n"/>
      <c r="D628" s="575" t="n"/>
      <c r="E628" s="571" t="n"/>
      <c r="F628" s="571" t="n"/>
      <c r="G628" s="533" t="n"/>
      <c r="H628" s="533" t="n"/>
    </row>
    <row r="629" ht="24" customHeight="1">
      <c r="A629" s="539" t="n"/>
      <c r="B629" s="533" t="n"/>
      <c r="C629" s="533" t="n"/>
      <c r="D629" s="575" t="n"/>
      <c r="E629" s="571" t="n"/>
      <c r="F629" s="571" t="n"/>
      <c r="G629" s="533" t="n"/>
      <c r="H629" s="533" t="n"/>
    </row>
    <row r="630" ht="24" customHeight="1">
      <c r="A630" s="539" t="n"/>
      <c r="B630" s="533" t="n"/>
      <c r="C630" s="533" t="n"/>
      <c r="D630" s="575" t="n"/>
      <c r="E630" s="571" t="n"/>
      <c r="F630" s="571" t="n"/>
      <c r="G630" s="533" t="n"/>
      <c r="H630" s="533" t="n"/>
    </row>
    <row r="631" ht="24" customHeight="1">
      <c r="A631" s="539" t="n"/>
      <c r="B631" s="533" t="n"/>
      <c r="C631" s="533" t="n"/>
      <c r="D631" s="575" t="n"/>
      <c r="E631" s="571" t="n"/>
      <c r="F631" s="571" t="n"/>
      <c r="G631" s="533" t="n"/>
      <c r="H631" s="533" t="n"/>
    </row>
    <row r="632" ht="24" customHeight="1">
      <c r="A632" s="539" t="n"/>
      <c r="B632" s="533" t="n"/>
      <c r="C632" s="533" t="n"/>
      <c r="D632" s="575" t="n"/>
      <c r="E632" s="571" t="n"/>
      <c r="F632" s="571" t="n"/>
      <c r="G632" s="533" t="n"/>
      <c r="H632" s="533" t="n"/>
    </row>
    <row r="633" ht="24" customHeight="1">
      <c r="A633" s="539" t="n"/>
      <c r="B633" s="533" t="n"/>
      <c r="C633" s="533" t="n"/>
      <c r="D633" s="575" t="n"/>
      <c r="E633" s="571" t="n"/>
      <c r="F633" s="571" t="n"/>
      <c r="G633" s="533" t="n"/>
      <c r="H633" s="533" t="n"/>
    </row>
    <row r="634" ht="24" customHeight="1">
      <c r="A634" s="539" t="n"/>
      <c r="B634" s="533" t="n"/>
      <c r="C634" s="533" t="n"/>
      <c r="D634" s="575" t="n"/>
      <c r="E634" s="571" t="n"/>
      <c r="F634" s="571" t="n"/>
      <c r="G634" s="533" t="n"/>
      <c r="H634" s="533" t="n"/>
    </row>
    <row r="635" ht="24" customHeight="1">
      <c r="A635" s="539" t="n"/>
      <c r="B635" s="533" t="n"/>
      <c r="C635" s="533" t="n"/>
      <c r="D635" s="575" t="n"/>
      <c r="E635" s="571" t="n"/>
      <c r="F635" s="571" t="n"/>
      <c r="G635" s="533" t="n"/>
      <c r="H635" s="533" t="n"/>
    </row>
    <row r="636" ht="24" customHeight="1">
      <c r="A636" s="539" t="n"/>
      <c r="B636" s="533" t="n"/>
      <c r="C636" s="533" t="n"/>
      <c r="D636" s="575" t="n"/>
      <c r="E636" s="571" t="n"/>
      <c r="F636" s="571" t="n"/>
      <c r="G636" s="533" t="n"/>
      <c r="H636" s="533" t="n"/>
    </row>
    <row r="637" ht="24" customHeight="1">
      <c r="A637" s="539" t="n"/>
      <c r="B637" s="533" t="n"/>
      <c r="C637" s="533" t="n"/>
      <c r="D637" s="575" t="n"/>
      <c r="E637" s="571" t="n"/>
      <c r="F637" s="571" t="n"/>
      <c r="G637" s="533" t="n"/>
      <c r="H637" s="533" t="n"/>
    </row>
    <row r="638" ht="24" customHeight="1">
      <c r="A638" s="539" t="n"/>
      <c r="B638" s="533" t="n"/>
      <c r="C638" s="533" t="n"/>
      <c r="D638" s="575" t="n"/>
      <c r="E638" s="571" t="n"/>
      <c r="F638" s="571" t="n"/>
      <c r="G638" s="533" t="n"/>
      <c r="H638" s="533" t="n"/>
    </row>
    <row r="639" ht="24" customHeight="1">
      <c r="A639" s="539" t="n"/>
      <c r="B639" s="533" t="n"/>
      <c r="C639" s="533" t="n"/>
      <c r="D639" s="575" t="n"/>
      <c r="E639" s="571" t="n"/>
      <c r="F639" s="571" t="n"/>
      <c r="G639" s="533" t="n"/>
      <c r="H639" s="533" t="n"/>
    </row>
    <row r="640" ht="24" customHeight="1">
      <c r="A640" s="539" t="n"/>
      <c r="B640" s="533" t="n"/>
      <c r="C640" s="533" t="n"/>
      <c r="D640" s="575" t="n"/>
      <c r="E640" s="571" t="n"/>
      <c r="F640" s="571" t="n"/>
      <c r="G640" s="533" t="n"/>
      <c r="H640" s="533" t="n"/>
    </row>
    <row r="641" ht="24" customHeight="1">
      <c r="A641" s="539" t="n"/>
      <c r="B641" s="533" t="n"/>
      <c r="C641" s="533" t="n"/>
      <c r="D641" s="575" t="n"/>
      <c r="E641" s="571" t="n"/>
      <c r="F641" s="571" t="n"/>
      <c r="G641" s="533" t="n"/>
      <c r="H641" s="533" t="n"/>
    </row>
    <row r="642" ht="24" customHeight="1">
      <c r="A642" s="539" t="n"/>
      <c r="B642" s="533" t="n"/>
      <c r="C642" s="533" t="n"/>
      <c r="D642" s="575" t="n"/>
      <c r="E642" s="571" t="n"/>
      <c r="F642" s="571" t="n"/>
      <c r="G642" s="533" t="n"/>
      <c r="H642" s="533" t="n"/>
    </row>
    <row r="643" ht="24" customHeight="1">
      <c r="A643" s="539" t="n"/>
      <c r="B643" s="533" t="n"/>
      <c r="C643" s="533" t="n"/>
      <c r="D643" s="575" t="n"/>
      <c r="E643" s="571" t="n"/>
      <c r="F643" s="571" t="n"/>
      <c r="G643" s="533" t="n"/>
      <c r="H643" s="533" t="n"/>
    </row>
    <row r="644" ht="24" customHeight="1">
      <c r="A644" s="539" t="n"/>
      <c r="B644" s="533" t="n"/>
      <c r="C644" s="533" t="n"/>
      <c r="D644" s="575" t="n"/>
      <c r="E644" s="571" t="n"/>
      <c r="F644" s="571" t="n"/>
      <c r="G644" s="533" t="n"/>
      <c r="H644" s="533" t="n"/>
    </row>
    <row r="645" ht="24" customHeight="1">
      <c r="A645" s="539" t="n"/>
      <c r="B645" s="533" t="n"/>
      <c r="C645" s="533" t="n"/>
      <c r="D645" s="575" t="n"/>
      <c r="E645" s="571" t="n"/>
      <c r="F645" s="571" t="n"/>
      <c r="G645" s="533" t="n"/>
      <c r="H645" s="533" t="n"/>
    </row>
    <row r="646" ht="24" customHeight="1">
      <c r="A646" s="539" t="n"/>
      <c r="B646" s="533" t="n"/>
      <c r="C646" s="533" t="n"/>
      <c r="D646" s="575" t="n"/>
      <c r="E646" s="571" t="n"/>
      <c r="F646" s="571" t="n"/>
      <c r="G646" s="533" t="n"/>
      <c r="H646" s="533" t="n"/>
    </row>
    <row r="647" ht="24" customHeight="1">
      <c r="A647" s="539" t="n"/>
      <c r="B647" s="533" t="n"/>
      <c r="C647" s="533" t="n"/>
      <c r="D647" s="575" t="n"/>
      <c r="E647" s="571" t="n"/>
      <c r="F647" s="571" t="n"/>
      <c r="G647" s="533" t="n"/>
      <c r="H647" s="533" t="n"/>
    </row>
    <row r="648" ht="24" customHeight="1">
      <c r="A648" s="539" t="n"/>
      <c r="B648" s="533" t="n"/>
      <c r="C648" s="533" t="n"/>
      <c r="D648" s="575" t="n"/>
      <c r="E648" s="571" t="n"/>
      <c r="F648" s="571" t="n"/>
      <c r="G648" s="533" t="n"/>
      <c r="H648" s="533" t="n"/>
    </row>
    <row r="649" ht="24" customHeight="1">
      <c r="A649" s="539" t="n"/>
      <c r="B649" s="533" t="n"/>
      <c r="C649" s="533" t="n"/>
      <c r="D649" s="575" t="n"/>
      <c r="E649" s="571" t="n"/>
      <c r="F649" s="571" t="n"/>
      <c r="G649" s="533" t="n"/>
      <c r="H649" s="533" t="n"/>
    </row>
    <row r="650" ht="24" customHeight="1">
      <c r="A650" s="539" t="n"/>
      <c r="B650" s="533" t="n"/>
      <c r="C650" s="533" t="n"/>
      <c r="D650" s="575" t="n"/>
      <c r="E650" s="571" t="n"/>
      <c r="F650" s="571" t="n"/>
      <c r="G650" s="533" t="n"/>
      <c r="H650" s="533" t="n"/>
    </row>
    <row r="651" ht="24" customHeight="1">
      <c r="A651" s="539" t="n"/>
      <c r="B651" s="533" t="n"/>
      <c r="C651" s="533" t="n"/>
      <c r="D651" s="575" t="n"/>
      <c r="E651" s="571" t="n"/>
      <c r="F651" s="571" t="n"/>
      <c r="G651" s="533" t="n"/>
      <c r="H651" s="533" t="n"/>
    </row>
    <row r="652" ht="24" customHeight="1">
      <c r="A652" s="539" t="n"/>
      <c r="B652" s="533" t="n"/>
      <c r="C652" s="533" t="n"/>
      <c r="D652" s="575" t="n"/>
      <c r="E652" s="571" t="n"/>
      <c r="F652" s="571" t="n"/>
      <c r="G652" s="533" t="n"/>
      <c r="H652" s="533" t="n"/>
    </row>
    <row r="653" ht="24" customHeight="1">
      <c r="A653" s="539" t="n"/>
      <c r="B653" s="533" t="n"/>
      <c r="C653" s="533" t="n"/>
      <c r="D653" s="575" t="n"/>
      <c r="E653" s="571" t="n"/>
      <c r="F653" s="571" t="n"/>
      <c r="G653" s="533" t="n"/>
      <c r="H653" s="533" t="n"/>
    </row>
    <row r="654" ht="24" customHeight="1">
      <c r="A654" s="539" t="n"/>
      <c r="B654" s="533" t="n"/>
      <c r="C654" s="533" t="n"/>
      <c r="D654" s="575" t="n"/>
      <c r="E654" s="571" t="n"/>
      <c r="F654" s="571" t="n"/>
      <c r="G654" s="533" t="n"/>
      <c r="H654" s="533" t="n"/>
    </row>
    <row r="655" ht="24" customHeight="1">
      <c r="A655" s="539" t="n"/>
      <c r="B655" s="533" t="n"/>
      <c r="C655" s="533" t="n"/>
      <c r="D655" s="575" t="n"/>
      <c r="E655" s="571" t="n"/>
      <c r="F655" s="571" t="n"/>
      <c r="G655" s="533" t="n"/>
      <c r="H655" s="533" t="n"/>
    </row>
    <row r="656" ht="24" customHeight="1">
      <c r="A656" s="539" t="n"/>
      <c r="B656" s="533" t="n"/>
      <c r="C656" s="533" t="n"/>
      <c r="D656" s="575" t="n"/>
      <c r="E656" s="571" t="n"/>
      <c r="F656" s="571" t="n"/>
      <c r="G656" s="533" t="n"/>
      <c r="H656" s="533" t="n"/>
    </row>
    <row r="657" ht="24" customHeight="1">
      <c r="A657" s="539" t="n"/>
      <c r="B657" s="533" t="n"/>
      <c r="C657" s="533" t="n"/>
      <c r="D657" s="575" t="n"/>
      <c r="E657" s="571" t="n"/>
      <c r="F657" s="571" t="n"/>
      <c r="G657" s="533" t="n"/>
      <c r="H657" s="533" t="n"/>
    </row>
    <row r="658" ht="24" customHeight="1">
      <c r="A658" s="539" t="n"/>
      <c r="B658" s="533" t="n"/>
      <c r="C658" s="533" t="n"/>
      <c r="D658" s="575" t="n"/>
      <c r="E658" s="571" t="n"/>
      <c r="F658" s="571" t="n"/>
      <c r="G658" s="533" t="n"/>
      <c r="H658" s="533" t="n"/>
    </row>
    <row r="659" ht="24" customHeight="1">
      <c r="A659" s="539" t="n"/>
      <c r="B659" s="533" t="n"/>
      <c r="C659" s="533" t="n"/>
      <c r="D659" s="575" t="n"/>
      <c r="E659" s="571" t="n"/>
      <c r="F659" s="571" t="n"/>
      <c r="G659" s="533" t="n"/>
      <c r="H659" s="533" t="n"/>
    </row>
    <row r="660" ht="24" customHeight="1">
      <c r="A660" s="539" t="n"/>
      <c r="B660" s="533" t="n"/>
      <c r="C660" s="533" t="n"/>
      <c r="D660" s="575" t="n"/>
      <c r="E660" s="571" t="n"/>
      <c r="F660" s="571" t="n"/>
      <c r="G660" s="533" t="n"/>
      <c r="H660" s="533" t="n"/>
    </row>
    <row r="661" ht="24" customHeight="1">
      <c r="A661" s="539" t="n"/>
      <c r="B661" s="533" t="n"/>
      <c r="C661" s="533" t="n"/>
      <c r="D661" s="575" t="n"/>
      <c r="E661" s="571" t="n"/>
      <c r="F661" s="571" t="n"/>
      <c r="G661" s="533" t="n"/>
      <c r="H661" s="533" t="n"/>
    </row>
    <row r="662" ht="24" customHeight="1">
      <c r="A662" s="539" t="n"/>
      <c r="B662" s="533" t="n"/>
      <c r="C662" s="533" t="n"/>
      <c r="D662" s="575" t="n"/>
      <c r="E662" s="571" t="n"/>
      <c r="F662" s="571" t="n"/>
      <c r="G662" s="533" t="n"/>
      <c r="H662" s="533" t="n"/>
    </row>
    <row r="663" ht="24" customHeight="1">
      <c r="A663" s="539" t="n"/>
      <c r="B663" s="533" t="n"/>
      <c r="C663" s="533" t="n"/>
      <c r="D663" s="575" t="n"/>
      <c r="E663" s="571" t="n"/>
      <c r="F663" s="571" t="n"/>
      <c r="G663" s="533" t="n"/>
      <c r="H663" s="533" t="n"/>
    </row>
    <row r="664" ht="24" customHeight="1">
      <c r="A664" s="539" t="n"/>
      <c r="B664" s="533" t="n"/>
      <c r="C664" s="533" t="n"/>
      <c r="D664" s="575" t="n"/>
      <c r="E664" s="571" t="n"/>
      <c r="F664" s="571" t="n"/>
      <c r="G664" s="533" t="n"/>
      <c r="H664" s="533" t="n"/>
    </row>
    <row r="665" ht="24" customHeight="1">
      <c r="A665" s="539" t="n"/>
      <c r="B665" s="533" t="n"/>
      <c r="C665" s="533" t="n"/>
      <c r="D665" s="575" t="n"/>
      <c r="E665" s="571" t="n"/>
      <c r="F665" s="571" t="n"/>
      <c r="G665" s="533" t="n"/>
      <c r="H665" s="533" t="n"/>
    </row>
    <row r="666" ht="24" customHeight="1">
      <c r="A666" s="539" t="n"/>
      <c r="B666" s="533" t="n"/>
      <c r="C666" s="533" t="n"/>
      <c r="D666" s="575" t="n"/>
      <c r="E666" s="571" t="n"/>
      <c r="F666" s="571" t="n"/>
      <c r="G666" s="533" t="n"/>
      <c r="H666" s="533" t="n"/>
    </row>
    <row r="667" ht="24" customHeight="1">
      <c r="A667" s="539" t="n"/>
      <c r="B667" s="533" t="n"/>
      <c r="C667" s="533" t="n"/>
      <c r="D667" s="575" t="n"/>
      <c r="E667" s="571" t="n"/>
      <c r="F667" s="571" t="n"/>
      <c r="G667" s="533" t="n"/>
      <c r="H667" s="533" t="n"/>
    </row>
    <row r="668" ht="24" customHeight="1">
      <c r="A668" s="539" t="n"/>
      <c r="B668" s="533" t="n"/>
      <c r="C668" s="533" t="n"/>
      <c r="D668" s="575" t="n"/>
      <c r="E668" s="571" t="n"/>
      <c r="F668" s="571" t="n"/>
      <c r="G668" s="533" t="n"/>
      <c r="H668" s="533" t="n"/>
    </row>
    <row r="669" ht="24" customHeight="1">
      <c r="A669" s="539" t="n"/>
      <c r="B669" s="533" t="n"/>
      <c r="C669" s="533" t="n"/>
      <c r="D669" s="575" t="n"/>
      <c r="E669" s="571" t="n"/>
      <c r="F669" s="571" t="n"/>
      <c r="G669" s="533" t="n"/>
      <c r="H669" s="533" t="n"/>
    </row>
    <row r="670" ht="24" customHeight="1">
      <c r="A670" s="539" t="n"/>
      <c r="B670" s="533" t="n"/>
      <c r="C670" s="533" t="n"/>
      <c r="D670" s="575" t="n"/>
      <c r="E670" s="571" t="n"/>
      <c r="F670" s="571" t="n"/>
      <c r="G670" s="533" t="n"/>
      <c r="H670" s="533" t="n"/>
    </row>
    <row r="671" ht="24" customHeight="1">
      <c r="A671" s="539" t="n"/>
      <c r="B671" s="533" t="n"/>
      <c r="C671" s="533" t="n"/>
      <c r="D671" s="575" t="n"/>
      <c r="E671" s="571" t="n"/>
      <c r="F671" s="571" t="n"/>
      <c r="G671" s="533" t="n"/>
      <c r="H671" s="533" t="n"/>
    </row>
    <row r="672" ht="24" customHeight="1">
      <c r="A672" s="539" t="n"/>
      <c r="B672" s="533" t="n"/>
      <c r="C672" s="533" t="n"/>
      <c r="D672" s="575" t="n"/>
      <c r="E672" s="571" t="n"/>
      <c r="F672" s="571" t="n"/>
      <c r="G672" s="533" t="n"/>
      <c r="H672" s="533" t="n"/>
    </row>
    <row r="673" ht="24" customHeight="1">
      <c r="A673" s="539" t="n"/>
      <c r="B673" s="533" t="n"/>
      <c r="C673" s="533" t="n"/>
      <c r="D673" s="575" t="n"/>
      <c r="E673" s="571" t="n"/>
      <c r="F673" s="571" t="n"/>
      <c r="G673" s="533" t="n"/>
      <c r="H673" s="533" t="n"/>
    </row>
    <row r="674" ht="24" customHeight="1">
      <c r="A674" s="539" t="n"/>
      <c r="B674" s="533" t="n"/>
      <c r="C674" s="533" t="n"/>
      <c r="D674" s="575" t="n"/>
      <c r="E674" s="571" t="n"/>
      <c r="F674" s="571" t="n"/>
      <c r="G674" s="533" t="n"/>
      <c r="H674" s="533" t="n"/>
    </row>
    <row r="675" ht="24" customHeight="1">
      <c r="A675" s="539" t="n"/>
      <c r="B675" s="533" t="n"/>
      <c r="C675" s="533" t="n"/>
      <c r="D675" s="575" t="n"/>
      <c r="E675" s="571" t="n"/>
      <c r="F675" s="571" t="n"/>
      <c r="G675" s="533" t="n"/>
      <c r="H675" s="533" t="n"/>
    </row>
    <row r="676" ht="24" customHeight="1">
      <c r="A676" s="539" t="n"/>
      <c r="B676" s="533" t="n"/>
      <c r="C676" s="533" t="n"/>
      <c r="D676" s="575" t="n"/>
      <c r="E676" s="571" t="n"/>
      <c r="F676" s="571" t="n"/>
      <c r="G676" s="533" t="n"/>
      <c r="H676" s="533" t="n"/>
    </row>
    <row r="677" ht="24" customHeight="1">
      <c r="A677" s="539" t="n"/>
      <c r="B677" s="533" t="n"/>
      <c r="C677" s="533" t="n"/>
      <c r="D677" s="575" t="n"/>
      <c r="E677" s="571" t="n"/>
      <c r="F677" s="571" t="n"/>
      <c r="G677" s="533" t="n"/>
      <c r="H677" s="533" t="n"/>
    </row>
    <row r="678" ht="24" customHeight="1">
      <c r="A678" s="539" t="n"/>
      <c r="B678" s="533" t="n"/>
      <c r="C678" s="533" t="n"/>
      <c r="D678" s="575" t="n"/>
      <c r="E678" s="571" t="n"/>
      <c r="F678" s="571" t="n"/>
      <c r="G678" s="533" t="n"/>
      <c r="H678" s="533" t="n"/>
    </row>
    <row r="679" ht="24" customHeight="1">
      <c r="A679" s="539" t="n"/>
      <c r="B679" s="533" t="n"/>
      <c r="C679" s="533" t="n"/>
      <c r="D679" s="575" t="n"/>
      <c r="E679" s="571" t="n"/>
      <c r="F679" s="571" t="n"/>
      <c r="G679" s="533" t="n"/>
      <c r="H679" s="533" t="n"/>
    </row>
    <row r="680" ht="24" customHeight="1">
      <c r="A680" s="539" t="n"/>
      <c r="B680" s="533" t="n"/>
      <c r="C680" s="533" t="n"/>
      <c r="D680" s="575" t="n"/>
      <c r="E680" s="571" t="n"/>
      <c r="F680" s="571" t="n"/>
      <c r="G680" s="533" t="n"/>
      <c r="H680" s="533" t="n"/>
    </row>
    <row r="681" ht="24" customHeight="1">
      <c r="A681" s="539" t="n"/>
      <c r="B681" s="533" t="n"/>
      <c r="C681" s="533" t="n"/>
      <c r="D681" s="575" t="n"/>
      <c r="E681" s="571" t="n"/>
      <c r="F681" s="571" t="n"/>
      <c r="G681" s="533" t="n"/>
      <c r="H681" s="533" t="n"/>
    </row>
    <row r="682" ht="24" customHeight="1">
      <c r="A682" s="539" t="n"/>
      <c r="B682" s="533" t="n"/>
      <c r="C682" s="533" t="n"/>
      <c r="D682" s="575" t="n"/>
      <c r="E682" s="571" t="n"/>
      <c r="F682" s="571" t="n"/>
      <c r="G682" s="533" t="n"/>
      <c r="H682" s="533" t="n"/>
    </row>
    <row r="683" ht="24" customHeight="1">
      <c r="A683" s="539" t="n"/>
      <c r="B683" s="533" t="n"/>
      <c r="C683" s="533" t="n"/>
      <c r="D683" s="575" t="n"/>
      <c r="E683" s="571" t="n"/>
      <c r="F683" s="571" t="n"/>
      <c r="G683" s="533" t="n"/>
      <c r="H683" s="533" t="n"/>
    </row>
    <row r="684" ht="24" customHeight="1">
      <c r="A684" s="539" t="n"/>
      <c r="B684" s="533" t="n"/>
      <c r="C684" s="533" t="n"/>
      <c r="D684" s="575" t="n"/>
      <c r="E684" s="571" t="n"/>
      <c r="F684" s="571" t="n"/>
      <c r="G684" s="533" t="n"/>
      <c r="H684" s="533" t="n"/>
    </row>
    <row r="685" ht="24" customHeight="1">
      <c r="A685" s="539" t="n"/>
      <c r="B685" s="533" t="n"/>
      <c r="C685" s="533" t="n"/>
      <c r="D685" s="575" t="n"/>
      <c r="E685" s="571" t="n"/>
      <c r="F685" s="571" t="n"/>
      <c r="G685" s="533" t="n"/>
      <c r="H685" s="533" t="n"/>
    </row>
    <row r="686" ht="24" customHeight="1">
      <c r="A686" s="539" t="n"/>
      <c r="B686" s="533" t="n"/>
      <c r="C686" s="533" t="n"/>
      <c r="D686" s="575" t="n"/>
      <c r="E686" s="571" t="n"/>
      <c r="F686" s="571" t="n"/>
      <c r="G686" s="533" t="n"/>
      <c r="H686" s="533" t="n"/>
    </row>
    <row r="687" ht="24" customHeight="1">
      <c r="A687" s="539" t="n"/>
      <c r="B687" s="533" t="n"/>
      <c r="C687" s="533" t="n"/>
      <c r="D687" s="575" t="n"/>
      <c r="E687" s="571" t="n"/>
      <c r="F687" s="571" t="n"/>
      <c r="G687" s="533" t="n"/>
      <c r="H687" s="533" t="n"/>
    </row>
    <row r="688" ht="24" customHeight="1">
      <c r="A688" s="539" t="n"/>
      <c r="B688" s="533" t="n"/>
      <c r="C688" s="533" t="n"/>
      <c r="D688" s="575" t="n"/>
      <c r="E688" s="571" t="n"/>
      <c r="F688" s="571" t="n"/>
      <c r="G688" s="533" t="n"/>
      <c r="H688" s="533" t="n"/>
    </row>
    <row r="689" ht="24" customHeight="1">
      <c r="A689" s="539" t="n"/>
      <c r="B689" s="533" t="n"/>
      <c r="C689" s="533" t="n"/>
      <c r="D689" s="575" t="n"/>
      <c r="E689" s="571" t="n"/>
      <c r="F689" s="571" t="n"/>
      <c r="G689" s="533" t="n"/>
      <c r="H689" s="533" t="n"/>
    </row>
    <row r="690" ht="24" customHeight="1">
      <c r="A690" s="539" t="n"/>
      <c r="B690" s="533" t="n"/>
      <c r="C690" s="533" t="n"/>
      <c r="D690" s="575" t="n"/>
      <c r="E690" s="571" t="n"/>
      <c r="F690" s="571" t="n"/>
      <c r="G690" s="533" t="n"/>
      <c r="H690" s="533" t="n"/>
    </row>
    <row r="691" ht="24" customHeight="1">
      <c r="A691" s="539" t="n"/>
      <c r="B691" s="533" t="n"/>
      <c r="C691" s="533" t="n"/>
      <c r="D691" s="575" t="n"/>
      <c r="E691" s="571" t="n"/>
      <c r="F691" s="571" t="n"/>
      <c r="G691" s="533" t="n"/>
      <c r="H691" s="533" t="n"/>
    </row>
    <row r="692" ht="24" customHeight="1">
      <c r="A692" s="539" t="n"/>
      <c r="B692" s="533" t="n"/>
      <c r="C692" s="533" t="n"/>
      <c r="D692" s="575" t="n"/>
      <c r="E692" s="571" t="n"/>
      <c r="F692" s="571" t="n"/>
      <c r="G692" s="533" t="n"/>
      <c r="H692" s="533" t="n"/>
    </row>
    <row r="693" ht="24" customHeight="1">
      <c r="A693" s="539" t="n"/>
      <c r="B693" s="533" t="n"/>
      <c r="C693" s="533" t="n"/>
      <c r="D693" s="575" t="n"/>
      <c r="E693" s="571" t="n"/>
      <c r="F693" s="571" t="n"/>
      <c r="G693" s="533" t="n"/>
      <c r="H693" s="533" t="n"/>
    </row>
    <row r="694" ht="24" customHeight="1">
      <c r="A694" s="539" t="n"/>
      <c r="B694" s="533" t="n"/>
      <c r="C694" s="533" t="n"/>
      <c r="D694" s="575" t="n"/>
      <c r="E694" s="571" t="n"/>
      <c r="F694" s="571" t="n"/>
      <c r="G694" s="533" t="n"/>
      <c r="H694" s="533" t="n"/>
    </row>
    <row r="695" ht="24" customHeight="1">
      <c r="A695" s="539" t="n"/>
      <c r="B695" s="533" t="n"/>
      <c r="C695" s="533" t="n"/>
      <c r="D695" s="575" t="n"/>
      <c r="E695" s="571" t="n"/>
      <c r="F695" s="571" t="n"/>
      <c r="G695" s="533" t="n"/>
      <c r="H695" s="533" t="n"/>
    </row>
    <row r="696" ht="24" customHeight="1">
      <c r="A696" s="539" t="n"/>
      <c r="B696" s="533" t="n"/>
      <c r="C696" s="533" t="n"/>
      <c r="D696" s="575" t="n"/>
      <c r="E696" s="571" t="n"/>
      <c r="F696" s="571" t="n"/>
      <c r="G696" s="533" t="n"/>
      <c r="H696" s="533" t="n"/>
    </row>
    <row r="697" ht="24" customHeight="1">
      <c r="A697" s="539" t="n"/>
      <c r="B697" s="533" t="n"/>
      <c r="C697" s="533" t="n"/>
      <c r="D697" s="575" t="n"/>
      <c r="E697" s="571" t="n"/>
      <c r="F697" s="571" t="n"/>
      <c r="G697" s="533" t="n"/>
      <c r="H697" s="533" t="n"/>
    </row>
    <row r="698" ht="24" customHeight="1">
      <c r="A698" s="539" t="n"/>
      <c r="B698" s="533" t="n"/>
      <c r="C698" s="533" t="n"/>
      <c r="D698" s="575" t="n"/>
      <c r="E698" s="571" t="n"/>
      <c r="F698" s="571" t="n"/>
      <c r="G698" s="533" t="n"/>
      <c r="H698" s="533" t="n"/>
    </row>
    <row r="699" ht="24" customHeight="1">
      <c r="A699" s="539" t="n"/>
      <c r="B699" s="533" t="n"/>
      <c r="C699" s="533" t="n"/>
      <c r="D699" s="575" t="n"/>
      <c r="E699" s="571" t="n"/>
      <c r="F699" s="571" t="n"/>
      <c r="G699" s="533" t="n"/>
      <c r="H699" s="533" t="n"/>
    </row>
    <row r="700" ht="24" customHeight="1">
      <c r="A700" s="539" t="n"/>
      <c r="B700" s="533" t="n"/>
      <c r="C700" s="533" t="n"/>
      <c r="D700" s="575" t="n"/>
      <c r="E700" s="571" t="n"/>
      <c r="F700" s="571" t="n"/>
      <c r="G700" s="533" t="n"/>
      <c r="H700" s="533" t="n"/>
    </row>
    <row r="701" ht="24" customHeight="1">
      <c r="A701" s="539" t="n"/>
      <c r="B701" s="533" t="n"/>
      <c r="C701" s="533" t="n"/>
      <c r="D701" s="575" t="n"/>
      <c r="E701" s="571" t="n"/>
      <c r="F701" s="571" t="n"/>
      <c r="G701" s="533" t="n"/>
      <c r="H701" s="533" t="n"/>
    </row>
    <row r="702" ht="24" customHeight="1">
      <c r="A702" s="539" t="n"/>
      <c r="B702" s="533" t="n"/>
      <c r="C702" s="533" t="n"/>
      <c r="D702" s="575" t="n"/>
      <c r="E702" s="571" t="n"/>
      <c r="F702" s="571" t="n"/>
      <c r="G702" s="533" t="n"/>
      <c r="H702" s="533" t="n"/>
    </row>
    <row r="703" ht="24" customHeight="1">
      <c r="A703" s="539" t="n"/>
      <c r="B703" s="533" t="n"/>
      <c r="C703" s="533" t="n"/>
      <c r="D703" s="575" t="n"/>
      <c r="E703" s="571" t="n"/>
      <c r="F703" s="571" t="n"/>
      <c r="G703" s="533" t="n"/>
      <c r="H703" s="533" t="n"/>
    </row>
    <row r="704" ht="24" customHeight="1">
      <c r="A704" s="539" t="n"/>
      <c r="B704" s="533" t="n"/>
      <c r="C704" s="533" t="n"/>
      <c r="D704" s="575" t="n"/>
      <c r="E704" s="571" t="n"/>
      <c r="F704" s="571" t="n"/>
      <c r="G704" s="533" t="n"/>
      <c r="H704" s="533" t="n"/>
    </row>
    <row r="705" ht="24" customHeight="1">
      <c r="A705" s="539" t="n"/>
      <c r="B705" s="533" t="n"/>
      <c r="C705" s="533" t="n"/>
      <c r="D705" s="575" t="n"/>
      <c r="E705" s="571" t="n"/>
      <c r="F705" s="571" t="n"/>
      <c r="G705" s="533" t="n"/>
      <c r="H705" s="533" t="n"/>
    </row>
    <row r="706" ht="24" customHeight="1">
      <c r="A706" s="539" t="n"/>
      <c r="B706" s="533" t="n"/>
      <c r="C706" s="533" t="n"/>
      <c r="D706" s="575" t="n"/>
      <c r="E706" s="571" t="n"/>
      <c r="F706" s="571" t="n"/>
      <c r="G706" s="533" t="n"/>
      <c r="H706" s="533" t="n"/>
    </row>
    <row r="707" ht="24" customHeight="1">
      <c r="A707" s="539" t="n"/>
      <c r="B707" s="533" t="n"/>
      <c r="C707" s="533" t="n"/>
      <c r="D707" s="575" t="n"/>
      <c r="E707" s="571" t="n"/>
      <c r="F707" s="571" t="n"/>
      <c r="G707" s="533" t="n"/>
      <c r="H707" s="533" t="n"/>
    </row>
    <row r="708" ht="24" customHeight="1">
      <c r="A708" s="539" t="n"/>
      <c r="B708" s="533" t="n"/>
      <c r="C708" s="533" t="n"/>
      <c r="D708" s="575" t="n"/>
      <c r="E708" s="571" t="n"/>
      <c r="F708" s="571" t="n"/>
      <c r="G708" s="533" t="n"/>
      <c r="H708" s="533" t="n"/>
    </row>
    <row r="709" ht="24" customHeight="1">
      <c r="A709" s="539" t="n"/>
      <c r="B709" s="533" t="n"/>
      <c r="C709" s="533" t="n"/>
      <c r="D709" s="575" t="n"/>
      <c r="E709" s="571" t="n"/>
      <c r="F709" s="571" t="n"/>
      <c r="G709" s="533" t="n"/>
      <c r="H709" s="533" t="n"/>
    </row>
    <row r="710" ht="24" customHeight="1">
      <c r="A710" s="539" t="n"/>
      <c r="B710" s="533" t="n"/>
      <c r="C710" s="533" t="n"/>
      <c r="D710" s="575" t="n"/>
      <c r="E710" s="571" t="n"/>
      <c r="F710" s="571" t="n"/>
      <c r="G710" s="533" t="n"/>
      <c r="H710" s="533" t="n"/>
    </row>
    <row r="711" ht="24" customHeight="1">
      <c r="A711" s="539" t="n"/>
      <c r="B711" s="533" t="n"/>
      <c r="C711" s="533" t="n"/>
      <c r="D711" s="575" t="n"/>
      <c r="E711" s="571" t="n"/>
      <c r="F711" s="571" t="n"/>
      <c r="G711" s="533" t="n"/>
      <c r="H711" s="533" t="n"/>
    </row>
    <row r="712" ht="24" customHeight="1">
      <c r="A712" s="539" t="n"/>
      <c r="B712" s="533" t="n"/>
      <c r="C712" s="533" t="n"/>
      <c r="D712" s="575" t="n"/>
      <c r="E712" s="571" t="n"/>
      <c r="F712" s="571" t="n"/>
      <c r="G712" s="533" t="n"/>
      <c r="H712" s="533" t="n"/>
    </row>
    <row r="713" ht="24" customHeight="1">
      <c r="A713" s="539" t="n"/>
      <c r="B713" s="533" t="n"/>
      <c r="C713" s="533" t="n"/>
      <c r="D713" s="575" t="n"/>
      <c r="E713" s="571" t="n"/>
      <c r="F713" s="571" t="n"/>
      <c r="G713" s="533" t="n"/>
      <c r="H713" s="533" t="n"/>
    </row>
    <row r="714" ht="24" customHeight="1">
      <c r="A714" s="539" t="n"/>
      <c r="B714" s="533" t="n"/>
      <c r="C714" s="533" t="n"/>
      <c r="D714" s="575" t="n"/>
      <c r="E714" s="571" t="n"/>
      <c r="F714" s="571" t="n"/>
      <c r="G714" s="533" t="n"/>
      <c r="H714" s="533" t="n"/>
    </row>
    <row r="715" ht="24" customHeight="1">
      <c r="A715" s="539" t="n"/>
      <c r="B715" s="533" t="n"/>
      <c r="C715" s="533" t="n"/>
      <c r="D715" s="575" t="n"/>
      <c r="E715" s="571" t="n"/>
      <c r="F715" s="571" t="n"/>
      <c r="G715" s="533" t="n"/>
      <c r="H715" s="533" t="n"/>
    </row>
    <row r="716" ht="24" customHeight="1">
      <c r="A716" s="539" t="n"/>
      <c r="B716" s="533" t="n"/>
      <c r="C716" s="533" t="n"/>
      <c r="D716" s="575" t="n"/>
      <c r="E716" s="571" t="n"/>
      <c r="F716" s="571" t="n"/>
      <c r="G716" s="533" t="n"/>
      <c r="H716" s="533" t="n"/>
    </row>
    <row r="717" ht="24" customHeight="1">
      <c r="A717" s="539" t="n"/>
      <c r="B717" s="533" t="n"/>
      <c r="C717" s="533" t="n"/>
      <c r="D717" s="575" t="n"/>
      <c r="E717" s="571" t="n"/>
      <c r="F717" s="571" t="n"/>
      <c r="G717" s="533" t="n"/>
      <c r="H717" s="533" t="n"/>
    </row>
    <row r="718" ht="24" customHeight="1">
      <c r="A718" s="539" t="n"/>
      <c r="B718" s="533" t="n"/>
      <c r="C718" s="533" t="n"/>
      <c r="D718" s="575" t="n"/>
      <c r="E718" s="571" t="n"/>
      <c r="F718" s="571" t="n"/>
      <c r="G718" s="533" t="n"/>
      <c r="H718" s="533" t="n"/>
    </row>
    <row r="719" ht="24" customHeight="1">
      <c r="A719" s="539" t="n"/>
      <c r="B719" s="533" t="n"/>
      <c r="C719" s="533" t="n"/>
      <c r="D719" s="575" t="n"/>
      <c r="E719" s="571" t="n"/>
      <c r="F719" s="571" t="n"/>
      <c r="G719" s="533" t="n"/>
      <c r="H719" s="533" t="n"/>
    </row>
    <row r="720" ht="24" customHeight="1">
      <c r="A720" s="539" t="n"/>
      <c r="B720" s="533" t="n"/>
      <c r="C720" s="533" t="n"/>
      <c r="D720" s="575" t="n"/>
      <c r="E720" s="571" t="n"/>
      <c r="F720" s="571" t="n"/>
      <c r="G720" s="533" t="n"/>
      <c r="H720" s="533" t="n"/>
    </row>
    <row r="721" ht="24" customHeight="1">
      <c r="A721" s="539" t="n"/>
      <c r="B721" s="533" t="n"/>
      <c r="C721" s="533" t="n"/>
      <c r="D721" s="575" t="n"/>
      <c r="E721" s="571" t="n"/>
      <c r="F721" s="571" t="n"/>
      <c r="G721" s="533" t="n"/>
      <c r="H721" s="533" t="n"/>
    </row>
    <row r="722" ht="24" customHeight="1">
      <c r="A722" s="539" t="n"/>
      <c r="B722" s="533" t="n"/>
      <c r="C722" s="533" t="n"/>
      <c r="D722" s="575" t="n"/>
      <c r="E722" s="571" t="n"/>
      <c r="F722" s="571" t="n"/>
      <c r="G722" s="533" t="n"/>
      <c r="H722" s="533" t="n"/>
    </row>
    <row r="723" ht="24" customHeight="1">
      <c r="A723" s="539" t="n"/>
      <c r="B723" s="533" t="n"/>
      <c r="C723" s="533" t="n"/>
      <c r="D723" s="575" t="n"/>
      <c r="E723" s="571" t="n"/>
      <c r="F723" s="571" t="n"/>
      <c r="G723" s="533" t="n"/>
      <c r="H723" s="533" t="n"/>
    </row>
    <row r="724" ht="24" customHeight="1">
      <c r="A724" s="539" t="n"/>
      <c r="B724" s="533" t="n"/>
      <c r="C724" s="533" t="n"/>
      <c r="D724" s="575" t="n"/>
      <c r="E724" s="571" t="n"/>
      <c r="F724" s="571" t="n"/>
      <c r="G724" s="533" t="n"/>
      <c r="H724" s="533" t="n"/>
    </row>
    <row r="725" ht="24" customHeight="1">
      <c r="A725" s="539" t="n"/>
      <c r="B725" s="533" t="n"/>
      <c r="C725" s="533" t="n"/>
      <c r="D725" s="575" t="n"/>
      <c r="E725" s="571" t="n"/>
      <c r="F725" s="571" t="n"/>
      <c r="G725" s="533" t="n"/>
      <c r="H725" s="533" t="n"/>
    </row>
    <row r="726" ht="24" customHeight="1">
      <c r="A726" s="539" t="n"/>
      <c r="B726" s="533" t="n"/>
      <c r="C726" s="533" t="n"/>
      <c r="D726" s="575" t="n"/>
      <c r="E726" s="571" t="n"/>
      <c r="F726" s="571" t="n"/>
      <c r="G726" s="533" t="n"/>
      <c r="H726" s="533" t="n"/>
    </row>
    <row r="727" ht="24" customHeight="1">
      <c r="A727" s="539" t="n"/>
      <c r="B727" s="533" t="n"/>
      <c r="C727" s="533" t="n"/>
      <c r="D727" s="575" t="n"/>
      <c r="E727" s="571" t="n"/>
      <c r="F727" s="571" t="n"/>
      <c r="G727" s="533" t="n"/>
      <c r="H727" s="533" t="n"/>
    </row>
    <row r="728" ht="24" customHeight="1">
      <c r="A728" s="539" t="n"/>
      <c r="B728" s="533" t="n"/>
      <c r="C728" s="533" t="n"/>
      <c r="D728" s="575" t="n"/>
      <c r="E728" s="571" t="n"/>
      <c r="F728" s="571" t="n"/>
      <c r="G728" s="533" t="n"/>
      <c r="H728" s="533" t="n"/>
    </row>
    <row r="729" ht="24" customHeight="1">
      <c r="A729" s="539" t="n"/>
      <c r="B729" s="533" t="n"/>
      <c r="C729" s="533" t="n"/>
      <c r="D729" s="575" t="n"/>
      <c r="E729" s="571" t="n"/>
      <c r="F729" s="571" t="n"/>
      <c r="G729" s="533" t="n"/>
      <c r="H729" s="533" t="n"/>
    </row>
    <row r="730" ht="24" customHeight="1">
      <c r="A730" s="539" t="n"/>
      <c r="B730" s="533" t="n"/>
      <c r="C730" s="533" t="n"/>
      <c r="D730" s="575" t="n"/>
      <c r="E730" s="571" t="n"/>
      <c r="F730" s="571" t="n"/>
      <c r="G730" s="533" t="n"/>
      <c r="H730" s="533" t="n"/>
    </row>
    <row r="731" ht="24" customHeight="1">
      <c r="A731" s="539" t="n"/>
      <c r="B731" s="533" t="n"/>
      <c r="C731" s="533" t="n"/>
      <c r="D731" s="575" t="n"/>
      <c r="E731" s="571" t="n"/>
      <c r="F731" s="571" t="n"/>
      <c r="G731" s="533" t="n"/>
      <c r="H731" s="533" t="n"/>
    </row>
    <row r="732" ht="24" customHeight="1">
      <c r="A732" s="539" t="n"/>
      <c r="B732" s="533" t="n"/>
      <c r="C732" s="533" t="n"/>
      <c r="D732" s="575" t="n"/>
      <c r="E732" s="571" t="n"/>
      <c r="F732" s="571" t="n"/>
      <c r="G732" s="533" t="n"/>
      <c r="H732" s="533" t="n"/>
    </row>
    <row r="733" ht="24" customHeight="1">
      <c r="A733" s="539" t="n"/>
      <c r="B733" s="533" t="n"/>
      <c r="C733" s="533" t="n"/>
      <c r="D733" s="575" t="n"/>
      <c r="E733" s="571" t="n"/>
      <c r="F733" s="571" t="n"/>
      <c r="G733" s="533" t="n"/>
      <c r="H733" s="533" t="n"/>
    </row>
    <row r="734" ht="24" customHeight="1">
      <c r="A734" s="539" t="n"/>
      <c r="B734" s="533" t="n"/>
      <c r="C734" s="533" t="n"/>
      <c r="D734" s="575" t="n"/>
      <c r="E734" s="571" t="n"/>
      <c r="F734" s="571" t="n"/>
      <c r="G734" s="533" t="n"/>
      <c r="H734" s="533" t="n"/>
    </row>
    <row r="735" ht="24" customHeight="1">
      <c r="A735" s="539" t="n"/>
      <c r="B735" s="533" t="n"/>
      <c r="C735" s="533" t="n"/>
      <c r="D735" s="575" t="n"/>
      <c r="E735" s="571" t="n"/>
      <c r="F735" s="571" t="n"/>
      <c r="G735" s="533" t="n"/>
      <c r="H735" s="533" t="n"/>
    </row>
    <row r="736" ht="24" customHeight="1">
      <c r="A736" s="539" t="n"/>
      <c r="B736" s="533" t="n"/>
      <c r="C736" s="533" t="n"/>
      <c r="D736" s="575" t="n"/>
      <c r="E736" s="571" t="n"/>
      <c r="F736" s="571" t="n"/>
      <c r="G736" s="533" t="n"/>
      <c r="H736" s="533" t="n"/>
    </row>
    <row r="737" ht="24" customHeight="1">
      <c r="A737" s="539" t="n"/>
      <c r="B737" s="533" t="n"/>
      <c r="C737" s="533" t="n"/>
      <c r="D737" s="575" t="n"/>
      <c r="E737" s="571" t="n"/>
      <c r="F737" s="571" t="n"/>
      <c r="G737" s="533" t="n"/>
      <c r="H737" s="533" t="n"/>
    </row>
    <row r="738" ht="24" customHeight="1">
      <c r="A738" s="539" t="n"/>
      <c r="B738" s="533" t="n"/>
      <c r="C738" s="533" t="n"/>
      <c r="D738" s="575" t="n"/>
      <c r="E738" s="571" t="n"/>
      <c r="F738" s="571" t="n"/>
      <c r="G738" s="533" t="n"/>
      <c r="H738" s="533" t="n"/>
    </row>
    <row r="739" ht="24" customHeight="1">
      <c r="A739" s="539" t="n"/>
      <c r="B739" s="533" t="n"/>
      <c r="C739" s="533" t="n"/>
      <c r="D739" s="575" t="n"/>
      <c r="E739" s="571" t="n"/>
      <c r="F739" s="571" t="n"/>
      <c r="G739" s="533" t="n"/>
      <c r="H739" s="533" t="n"/>
    </row>
    <row r="740" ht="24" customHeight="1">
      <c r="A740" s="539" t="n"/>
      <c r="B740" s="533" t="n"/>
      <c r="C740" s="533" t="n"/>
      <c r="D740" s="575" t="n"/>
      <c r="E740" s="571" t="n"/>
      <c r="F740" s="571" t="n"/>
      <c r="G740" s="533" t="n"/>
      <c r="H740" s="533" t="n"/>
    </row>
    <row r="741" ht="24" customHeight="1">
      <c r="A741" s="539" t="n"/>
      <c r="B741" s="533" t="n"/>
      <c r="C741" s="533" t="n"/>
      <c r="D741" s="575" t="n"/>
      <c r="E741" s="571" t="n"/>
      <c r="F741" s="571" t="n"/>
      <c r="G741" s="533" t="n"/>
      <c r="H741" s="533" t="n"/>
    </row>
    <row r="742" ht="24" customHeight="1">
      <c r="A742" s="539" t="n"/>
      <c r="B742" s="533" t="n"/>
      <c r="C742" s="533" t="n"/>
      <c r="D742" s="575" t="n"/>
      <c r="E742" s="571" t="n"/>
      <c r="F742" s="571" t="n"/>
      <c r="G742" s="533" t="n"/>
      <c r="H742" s="533" t="n"/>
    </row>
    <row r="743" ht="24" customHeight="1">
      <c r="A743" s="539" t="n"/>
      <c r="B743" s="533" t="n"/>
      <c r="C743" s="533" t="n"/>
      <c r="D743" s="575" t="n"/>
      <c r="E743" s="571" t="n"/>
      <c r="F743" s="571" t="n"/>
      <c r="G743" s="533" t="n"/>
      <c r="H743" s="533" t="n"/>
    </row>
    <row r="744" ht="24" customHeight="1">
      <c r="A744" s="539" t="n"/>
      <c r="B744" s="533" t="n"/>
      <c r="C744" s="533" t="n"/>
      <c r="D744" s="575" t="n"/>
      <c r="E744" s="571" t="n"/>
      <c r="F744" s="571" t="n"/>
      <c r="G744" s="533" t="n"/>
      <c r="H744" s="533" t="n"/>
    </row>
    <row r="745" ht="24" customHeight="1">
      <c r="A745" s="539" t="n"/>
      <c r="B745" s="533" t="n"/>
      <c r="C745" s="533" t="n"/>
      <c r="D745" s="575" t="n"/>
      <c r="E745" s="571" t="n"/>
      <c r="F745" s="571" t="n"/>
      <c r="G745" s="533" t="n"/>
      <c r="H745" s="533" t="n"/>
    </row>
    <row r="746" ht="24" customHeight="1">
      <c r="A746" s="539" t="n"/>
      <c r="B746" s="533" t="n"/>
      <c r="C746" s="533" t="n"/>
      <c r="D746" s="575" t="n"/>
      <c r="E746" s="571" t="n"/>
      <c r="F746" s="571" t="n"/>
      <c r="G746" s="533" t="n"/>
      <c r="H746" s="533" t="n"/>
    </row>
    <row r="747" ht="24" customHeight="1">
      <c r="A747" s="539" t="n"/>
      <c r="B747" s="533" t="n"/>
      <c r="C747" s="533" t="n"/>
      <c r="D747" s="575" t="n"/>
      <c r="E747" s="571" t="n"/>
      <c r="F747" s="571" t="n"/>
      <c r="G747" s="533" t="n"/>
      <c r="H747" s="533" t="n"/>
    </row>
    <row r="748" ht="24" customHeight="1">
      <c r="A748" s="539" t="n"/>
      <c r="B748" s="533" t="n"/>
      <c r="C748" s="533" t="n"/>
      <c r="D748" s="575" t="n"/>
      <c r="E748" s="571" t="n"/>
      <c r="F748" s="571" t="n"/>
      <c r="G748" s="533" t="n"/>
      <c r="H748" s="533" t="n"/>
    </row>
    <row r="749" ht="24" customHeight="1">
      <c r="A749" s="539" t="n"/>
      <c r="B749" s="533" t="n"/>
      <c r="C749" s="533" t="n"/>
      <c r="D749" s="575" t="n"/>
      <c r="E749" s="571" t="n"/>
      <c r="F749" s="571" t="n"/>
      <c r="G749" s="533" t="n"/>
      <c r="H749" s="533" t="n"/>
    </row>
    <row r="750" ht="24" customHeight="1">
      <c r="A750" s="539" t="n"/>
      <c r="B750" s="533" t="n"/>
      <c r="C750" s="533" t="n"/>
      <c r="D750" s="575" t="n"/>
      <c r="E750" s="571" t="n"/>
      <c r="F750" s="571" t="n"/>
      <c r="G750" s="533" t="n"/>
      <c r="H750" s="533" t="n"/>
    </row>
    <row r="751" ht="24" customHeight="1">
      <c r="A751" s="539" t="n"/>
      <c r="B751" s="533" t="n"/>
      <c r="C751" s="533" t="n"/>
      <c r="D751" s="575" t="n"/>
      <c r="E751" s="571" t="n"/>
      <c r="F751" s="571" t="n"/>
      <c r="G751" s="533" t="n"/>
      <c r="H751" s="533" t="n"/>
    </row>
    <row r="752" ht="24" customHeight="1">
      <c r="A752" s="539" t="n"/>
      <c r="B752" s="533" t="n"/>
      <c r="C752" s="533" t="n"/>
      <c r="D752" s="575" t="n"/>
      <c r="E752" s="571" t="n"/>
      <c r="F752" s="571" t="n"/>
      <c r="G752" s="533" t="n"/>
      <c r="H752" s="533" t="n"/>
    </row>
    <row r="753" ht="24" customHeight="1">
      <c r="A753" s="539" t="n"/>
      <c r="B753" s="533" t="n"/>
      <c r="C753" s="533" t="n"/>
      <c r="D753" s="575" t="n"/>
      <c r="E753" s="571" t="n"/>
      <c r="F753" s="571" t="n"/>
      <c r="G753" s="533" t="n"/>
      <c r="H753" s="533" t="n"/>
    </row>
    <row r="754" ht="24" customHeight="1">
      <c r="A754" s="539" t="n"/>
      <c r="B754" s="533" t="n"/>
      <c r="C754" s="533" t="n"/>
      <c r="D754" s="575" t="n"/>
      <c r="E754" s="571" t="n"/>
      <c r="F754" s="571" t="n"/>
      <c r="G754" s="533" t="n"/>
      <c r="H754" s="533" t="n"/>
    </row>
    <row r="755" ht="24" customHeight="1">
      <c r="A755" s="539" t="n"/>
      <c r="B755" s="533" t="n"/>
      <c r="C755" s="533" t="n"/>
      <c r="D755" s="575" t="n"/>
      <c r="E755" s="571" t="n"/>
      <c r="F755" s="571" t="n"/>
      <c r="G755" s="533" t="n"/>
      <c r="H755" s="533" t="n"/>
    </row>
    <row r="756" ht="24" customHeight="1">
      <c r="A756" s="539" t="n"/>
      <c r="B756" s="533" t="n"/>
      <c r="C756" s="533" t="n"/>
      <c r="D756" s="575" t="n"/>
      <c r="E756" s="571" t="n"/>
      <c r="F756" s="571" t="n"/>
      <c r="G756" s="533" t="n"/>
      <c r="H756" s="533" t="n"/>
    </row>
    <row r="757" ht="24" customHeight="1">
      <c r="A757" s="539" t="n"/>
      <c r="B757" s="533" t="n"/>
      <c r="C757" s="533" t="n"/>
      <c r="D757" s="575" t="n"/>
      <c r="E757" s="571" t="n"/>
      <c r="F757" s="571" t="n"/>
      <c r="G757" s="533" t="n"/>
      <c r="H757" s="533" t="n"/>
    </row>
    <row r="758" ht="24" customHeight="1">
      <c r="A758" s="539" t="n"/>
      <c r="B758" s="533" t="n"/>
      <c r="C758" s="533" t="n"/>
      <c r="D758" s="575" t="n"/>
      <c r="E758" s="571" t="n"/>
      <c r="F758" s="571" t="n"/>
      <c r="G758" s="533" t="n"/>
      <c r="H758" s="533" t="n"/>
    </row>
    <row r="759" ht="24" customHeight="1">
      <c r="A759" s="539" t="n"/>
      <c r="B759" s="533" t="n"/>
      <c r="C759" s="533" t="n"/>
      <c r="D759" s="575" t="n"/>
      <c r="E759" s="571" t="n"/>
      <c r="F759" s="571" t="n"/>
      <c r="G759" s="533" t="n"/>
      <c r="H759" s="533" t="n"/>
    </row>
    <row r="760" ht="24" customHeight="1">
      <c r="A760" s="539" t="n"/>
      <c r="B760" s="533" t="n"/>
      <c r="C760" s="533" t="n"/>
      <c r="D760" s="575" t="n"/>
      <c r="E760" s="571" t="n"/>
      <c r="F760" s="571" t="n"/>
      <c r="G760" s="533" t="n"/>
      <c r="H760" s="533" t="n"/>
    </row>
    <row r="761" ht="24" customHeight="1">
      <c r="A761" s="539" t="n"/>
      <c r="B761" s="533" t="n"/>
      <c r="C761" s="533" t="n"/>
      <c r="D761" s="575" t="n"/>
      <c r="E761" s="571" t="n"/>
      <c r="F761" s="571" t="n"/>
      <c r="G761" s="533" t="n"/>
      <c r="H761" s="533" t="n"/>
    </row>
    <row r="762" ht="24" customHeight="1">
      <c r="A762" s="539" t="n"/>
      <c r="B762" s="533" t="n"/>
      <c r="C762" s="533" t="n"/>
      <c r="D762" s="575" t="n"/>
      <c r="E762" s="571" t="n"/>
      <c r="F762" s="571" t="n"/>
      <c r="G762" s="533" t="n"/>
      <c r="H762" s="533" t="n"/>
    </row>
    <row r="763" ht="24" customHeight="1">
      <c r="A763" s="539" t="n"/>
      <c r="B763" s="533" t="n"/>
      <c r="C763" s="533" t="n"/>
      <c r="D763" s="575" t="n"/>
      <c r="E763" s="571" t="n"/>
      <c r="F763" s="571" t="n"/>
      <c r="G763" s="533" t="n"/>
      <c r="H763" s="533" t="n"/>
    </row>
    <row r="764" ht="24" customHeight="1">
      <c r="A764" s="539" t="n"/>
      <c r="B764" s="533" t="n"/>
      <c r="C764" s="533" t="n"/>
      <c r="D764" s="575" t="n"/>
      <c r="E764" s="571" t="n"/>
      <c r="F764" s="571" t="n"/>
      <c r="G764" s="533" t="n"/>
      <c r="H764" s="533" t="n"/>
    </row>
    <row r="765" ht="24" customHeight="1">
      <c r="A765" s="539" t="n"/>
      <c r="B765" s="533" t="n"/>
      <c r="C765" s="533" t="n"/>
      <c r="D765" s="575" t="n"/>
      <c r="E765" s="571" t="n"/>
      <c r="F765" s="571" t="n"/>
      <c r="G765" s="533" t="n"/>
      <c r="H765" s="533" t="n"/>
    </row>
    <row r="766" ht="24" customHeight="1">
      <c r="A766" s="539" t="n"/>
      <c r="B766" s="533" t="n"/>
      <c r="C766" s="533" t="n"/>
      <c r="D766" s="575" t="n"/>
      <c r="E766" s="571" t="n"/>
      <c r="F766" s="571" t="n"/>
      <c r="G766" s="533" t="n"/>
      <c r="H766" s="533" t="n"/>
    </row>
    <row r="767" ht="24" customHeight="1">
      <c r="A767" s="539" t="n"/>
      <c r="B767" s="533" t="n"/>
      <c r="C767" s="533" t="n"/>
      <c r="D767" s="575" t="n"/>
      <c r="E767" s="571" t="n"/>
      <c r="F767" s="571" t="n"/>
      <c r="G767" s="533" t="n"/>
      <c r="H767" s="533" t="n"/>
    </row>
    <row r="768" ht="24" customHeight="1">
      <c r="A768" s="539" t="n"/>
      <c r="B768" s="533" t="n"/>
      <c r="C768" s="533" t="n"/>
      <c r="D768" s="575" t="n"/>
      <c r="E768" s="571" t="n"/>
      <c r="F768" s="571" t="n"/>
      <c r="G768" s="533" t="n"/>
      <c r="H768" s="533" t="n"/>
    </row>
    <row r="769" ht="24" customHeight="1">
      <c r="A769" s="539" t="n"/>
      <c r="B769" s="533" t="n"/>
      <c r="C769" s="533" t="n"/>
      <c r="D769" s="575" t="n"/>
      <c r="E769" s="571" t="n"/>
      <c r="F769" s="571" t="n"/>
      <c r="G769" s="533" t="n"/>
      <c r="H769" s="533" t="n"/>
    </row>
    <row r="770" ht="24" customHeight="1">
      <c r="A770" s="539" t="n"/>
      <c r="B770" s="533" t="n"/>
      <c r="C770" s="533" t="n"/>
      <c r="D770" s="575" t="n"/>
      <c r="E770" s="571" t="n"/>
      <c r="F770" s="571" t="n"/>
      <c r="G770" s="533" t="n"/>
      <c r="H770" s="533" t="n"/>
    </row>
    <row r="771" ht="24" customHeight="1">
      <c r="A771" s="539" t="n"/>
      <c r="B771" s="533" t="n"/>
      <c r="C771" s="533" t="n"/>
      <c r="D771" s="575" t="n"/>
      <c r="E771" s="571" t="n"/>
      <c r="F771" s="571" t="n"/>
      <c r="G771" s="533" t="n"/>
      <c r="H771" s="533" t="n"/>
    </row>
    <row r="772" ht="24" customHeight="1">
      <c r="A772" s="539" t="n"/>
      <c r="B772" s="533" t="n"/>
      <c r="C772" s="533" t="n"/>
      <c r="D772" s="575" t="n"/>
      <c r="E772" s="571" t="n"/>
      <c r="F772" s="571" t="n"/>
      <c r="G772" s="533" t="n"/>
      <c r="H772" s="533" t="n"/>
    </row>
    <row r="773" ht="24" customHeight="1">
      <c r="A773" s="539" t="n"/>
      <c r="B773" s="533" t="n"/>
      <c r="C773" s="533" t="n"/>
      <c r="D773" s="575" t="n"/>
      <c r="E773" s="571" t="n"/>
      <c r="F773" s="571" t="n"/>
      <c r="G773" s="533" t="n"/>
      <c r="H773" s="533" t="n"/>
    </row>
    <row r="774" ht="24" customHeight="1">
      <c r="A774" s="539" t="n"/>
      <c r="B774" s="533" t="n"/>
      <c r="C774" s="533" t="n"/>
      <c r="D774" s="575" t="n"/>
      <c r="E774" s="571" t="n"/>
      <c r="F774" s="571" t="n"/>
      <c r="G774" s="533" t="n"/>
      <c r="H774" s="533" t="n"/>
    </row>
    <row r="775" ht="24" customHeight="1">
      <c r="A775" s="539" t="n"/>
      <c r="B775" s="533" t="n"/>
      <c r="C775" s="533" t="n"/>
      <c r="D775" s="575" t="n"/>
      <c r="E775" s="571" t="n"/>
      <c r="F775" s="571" t="n"/>
      <c r="G775" s="533" t="n"/>
      <c r="H775" s="533" t="n"/>
    </row>
    <row r="776" ht="24" customHeight="1">
      <c r="A776" s="539" t="n"/>
      <c r="B776" s="533" t="n"/>
      <c r="C776" s="533" t="n"/>
      <c r="D776" s="575" t="n"/>
      <c r="E776" s="571" t="n"/>
      <c r="F776" s="571" t="n"/>
      <c r="G776" s="533" t="n"/>
      <c r="H776" s="533" t="n"/>
    </row>
    <row r="777" ht="24" customHeight="1">
      <c r="A777" s="539" t="n"/>
      <c r="B777" s="533" t="n"/>
      <c r="C777" s="533" t="n"/>
      <c r="D777" s="575" t="n"/>
      <c r="E777" s="571" t="n"/>
      <c r="F777" s="571" t="n"/>
      <c r="G777" s="533" t="n"/>
      <c r="H777" s="533" t="n"/>
    </row>
    <row r="778" ht="24" customHeight="1">
      <c r="A778" s="539" t="n"/>
      <c r="B778" s="533" t="n"/>
      <c r="C778" s="533" t="n"/>
      <c r="D778" s="575" t="n"/>
      <c r="E778" s="571" t="n"/>
      <c r="F778" s="571" t="n"/>
      <c r="G778" s="533" t="n"/>
      <c r="H778" s="533" t="n"/>
    </row>
    <row r="779" ht="24" customHeight="1">
      <c r="A779" s="539" t="n"/>
      <c r="B779" s="533" t="n"/>
      <c r="C779" s="533" t="n"/>
      <c r="D779" s="575" t="n"/>
      <c r="E779" s="571" t="n"/>
      <c r="F779" s="571" t="n"/>
      <c r="G779" s="533" t="n"/>
      <c r="H779" s="533" t="n"/>
    </row>
    <row r="780" ht="24" customHeight="1">
      <c r="A780" s="539" t="n"/>
      <c r="B780" s="533" t="n"/>
      <c r="C780" s="533" t="n"/>
      <c r="D780" s="575" t="n"/>
      <c r="E780" s="571" t="n"/>
      <c r="F780" s="571" t="n"/>
      <c r="G780" s="533" t="n"/>
      <c r="H780" s="533" t="n"/>
    </row>
    <row r="781" ht="24" customHeight="1">
      <c r="A781" s="539" t="n"/>
      <c r="B781" s="533" t="n"/>
      <c r="C781" s="533" t="n"/>
      <c r="D781" s="575" t="n"/>
      <c r="E781" s="571" t="n"/>
      <c r="F781" s="571" t="n"/>
      <c r="G781" s="533" t="n"/>
      <c r="H781" s="533" t="n"/>
    </row>
    <row r="782" ht="24" customHeight="1">
      <c r="A782" s="539" t="n"/>
      <c r="B782" s="533" t="n"/>
      <c r="C782" s="533" t="n"/>
      <c r="D782" s="575" t="n"/>
      <c r="E782" s="571" t="n"/>
      <c r="F782" s="571" t="n"/>
      <c r="G782" s="533" t="n"/>
      <c r="H782" s="533" t="n"/>
    </row>
    <row r="783" ht="24" customHeight="1">
      <c r="A783" s="539" t="n"/>
      <c r="B783" s="533" t="n"/>
      <c r="C783" s="533" t="n"/>
      <c r="D783" s="575" t="n"/>
      <c r="E783" s="571" t="n"/>
      <c r="F783" s="571" t="n"/>
      <c r="G783" s="533" t="n"/>
      <c r="H783" s="533" t="n"/>
    </row>
    <row r="784" ht="24" customHeight="1">
      <c r="A784" s="539" t="n"/>
      <c r="B784" s="533" t="n"/>
      <c r="C784" s="533" t="n"/>
      <c r="D784" s="575" t="n"/>
      <c r="E784" s="571" t="n"/>
      <c r="F784" s="571" t="n"/>
      <c r="G784" s="533" t="n"/>
      <c r="H784" s="533" t="n"/>
    </row>
    <row r="785" ht="24" customHeight="1">
      <c r="A785" s="539" t="n"/>
      <c r="B785" s="533" t="n"/>
      <c r="C785" s="533" t="n"/>
      <c r="D785" s="575" t="n"/>
      <c r="E785" s="571" t="n"/>
      <c r="F785" s="571" t="n"/>
      <c r="G785" s="533" t="n"/>
      <c r="H785" s="533" t="n"/>
    </row>
    <row r="786" ht="24" customHeight="1">
      <c r="A786" s="539" t="n"/>
      <c r="B786" s="533" t="n"/>
      <c r="C786" s="533" t="n"/>
      <c r="D786" s="575" t="n"/>
      <c r="E786" s="571" t="n"/>
      <c r="F786" s="571" t="n"/>
      <c r="G786" s="533" t="n"/>
      <c r="H786" s="533" t="n"/>
    </row>
    <row r="787" ht="24" customHeight="1">
      <c r="A787" s="539" t="n"/>
      <c r="B787" s="533" t="n"/>
      <c r="C787" s="533" t="n"/>
      <c r="D787" s="575" t="n"/>
      <c r="E787" s="571" t="n"/>
      <c r="F787" s="571" t="n"/>
      <c r="G787" s="533" t="n"/>
      <c r="H787" s="533" t="n"/>
    </row>
    <row r="788" ht="24" customHeight="1">
      <c r="A788" s="539" t="n"/>
      <c r="B788" s="533" t="n"/>
      <c r="C788" s="533" t="n"/>
      <c r="D788" s="575" t="n"/>
      <c r="E788" s="571" t="n"/>
      <c r="F788" s="571" t="n"/>
      <c r="G788" s="533" t="n"/>
      <c r="H788" s="533" t="n"/>
    </row>
    <row r="789" ht="24" customHeight="1">
      <c r="A789" s="539" t="n"/>
      <c r="B789" s="533" t="n"/>
      <c r="C789" s="533" t="n"/>
      <c r="D789" s="575" t="n"/>
      <c r="E789" s="571" t="n"/>
      <c r="F789" s="571" t="n"/>
      <c r="G789" s="533" t="n"/>
      <c r="H789" s="533" t="n"/>
    </row>
    <row r="790" ht="24" customHeight="1">
      <c r="A790" s="539" t="n"/>
      <c r="B790" s="533" t="n"/>
      <c r="C790" s="533" t="n"/>
      <c r="D790" s="575" t="n"/>
      <c r="E790" s="571" t="n"/>
      <c r="F790" s="571" t="n"/>
      <c r="G790" s="533" t="n"/>
      <c r="H790" s="533" t="n"/>
    </row>
    <row r="791" ht="24" customHeight="1">
      <c r="A791" s="539" t="n"/>
      <c r="B791" s="533" t="n"/>
      <c r="C791" s="533" t="n"/>
      <c r="D791" s="575" t="n"/>
      <c r="E791" s="571" t="n"/>
      <c r="F791" s="571" t="n"/>
      <c r="G791" s="533" t="n"/>
      <c r="H791" s="533" t="n"/>
    </row>
    <row r="792" ht="24" customHeight="1">
      <c r="A792" s="539" t="n"/>
      <c r="B792" s="533" t="n"/>
      <c r="C792" s="533" t="n"/>
      <c r="D792" s="575" t="n"/>
      <c r="E792" s="571" t="n"/>
      <c r="F792" s="571" t="n"/>
      <c r="G792" s="533" t="n"/>
      <c r="H792" s="533" t="n"/>
    </row>
    <row r="793" ht="24" customHeight="1">
      <c r="A793" s="539" t="n"/>
      <c r="B793" s="533" t="n"/>
      <c r="C793" s="533" t="n"/>
      <c r="D793" s="575" t="n"/>
      <c r="E793" s="571" t="n"/>
      <c r="F793" s="571" t="n"/>
      <c r="G793" s="533" t="n"/>
      <c r="H793" s="533" t="n"/>
    </row>
    <row r="794" ht="24" customHeight="1">
      <c r="A794" s="539" t="n"/>
      <c r="B794" s="533" t="n"/>
      <c r="C794" s="533" t="n"/>
      <c r="D794" s="575" t="n"/>
      <c r="E794" s="571" t="n"/>
      <c r="F794" s="571" t="n"/>
      <c r="G794" s="533" t="n"/>
      <c r="H794" s="533" t="n"/>
    </row>
    <row r="795" ht="24" customHeight="1">
      <c r="A795" s="539" t="n"/>
      <c r="B795" s="533" t="n"/>
      <c r="C795" s="533" t="n"/>
      <c r="D795" s="575" t="n"/>
      <c r="E795" s="571" t="n"/>
      <c r="F795" s="571" t="n"/>
      <c r="G795" s="533" t="n"/>
      <c r="H795" s="533" t="n"/>
    </row>
    <row r="796" ht="24" customHeight="1">
      <c r="A796" s="539" t="n"/>
      <c r="B796" s="533" t="n"/>
      <c r="C796" s="533" t="n"/>
      <c r="D796" s="575" t="n"/>
      <c r="E796" s="571" t="n"/>
      <c r="F796" s="571" t="n"/>
      <c r="G796" s="533" t="n"/>
      <c r="H796" s="533" t="n"/>
    </row>
    <row r="797" ht="24" customHeight="1">
      <c r="A797" s="539" t="n"/>
      <c r="B797" s="533" t="n"/>
      <c r="C797" s="533" t="n"/>
      <c r="D797" s="575" t="n"/>
      <c r="E797" s="571" t="n"/>
      <c r="F797" s="571" t="n"/>
      <c r="G797" s="533" t="n"/>
      <c r="H797" s="533" t="n"/>
    </row>
    <row r="798" ht="24" customHeight="1">
      <c r="A798" s="539" t="n"/>
      <c r="B798" s="533" t="n"/>
      <c r="C798" s="533" t="n"/>
      <c r="D798" s="575" t="n"/>
      <c r="E798" s="571" t="n"/>
      <c r="F798" s="571" t="n"/>
      <c r="G798" s="533" t="n"/>
      <c r="H798" s="533" t="n"/>
    </row>
    <row r="799" ht="24" customHeight="1">
      <c r="A799" s="539" t="n"/>
      <c r="B799" s="533" t="n"/>
      <c r="C799" s="533" t="n"/>
      <c r="D799" s="575" t="n"/>
      <c r="E799" s="571" t="n"/>
      <c r="F799" s="571" t="n"/>
      <c r="G799" s="533" t="n"/>
      <c r="H799" s="533" t="n"/>
    </row>
    <row r="800" ht="24" customHeight="1">
      <c r="A800" s="539" t="n"/>
      <c r="B800" s="533" t="n"/>
      <c r="C800" s="533" t="n"/>
      <c r="D800" s="575" t="n"/>
      <c r="E800" s="571" t="n"/>
      <c r="F800" s="571" t="n"/>
      <c r="G800" s="533" t="n"/>
      <c r="H800" s="533" t="n"/>
    </row>
    <row r="801" ht="24" customHeight="1">
      <c r="A801" s="539" t="n"/>
      <c r="B801" s="533" t="n"/>
      <c r="C801" s="533" t="n"/>
      <c r="D801" s="575" t="n"/>
      <c r="E801" s="571" t="n"/>
      <c r="F801" s="571" t="n"/>
      <c r="G801" s="533" t="n"/>
      <c r="H801" s="533" t="n"/>
    </row>
    <row r="802" ht="24" customHeight="1">
      <c r="A802" s="539" t="n"/>
      <c r="B802" s="533" t="n"/>
      <c r="C802" s="533" t="n"/>
      <c r="D802" s="575" t="n"/>
      <c r="E802" s="571" t="n"/>
      <c r="F802" s="571" t="n"/>
      <c r="G802" s="533" t="n"/>
      <c r="H802" s="533" t="n"/>
    </row>
    <row r="803" ht="24" customHeight="1">
      <c r="A803" s="539" t="n"/>
      <c r="B803" s="533" t="n"/>
      <c r="C803" s="533" t="n"/>
      <c r="D803" s="575" t="n"/>
      <c r="E803" s="571" t="n"/>
      <c r="F803" s="571" t="n"/>
      <c r="G803" s="533" t="n"/>
      <c r="H803" s="533" t="n"/>
    </row>
    <row r="804" ht="24" customHeight="1">
      <c r="A804" s="539" t="n"/>
      <c r="B804" s="533" t="n"/>
      <c r="C804" s="533" t="n"/>
      <c r="D804" s="575" t="n"/>
      <c r="E804" s="571" t="n"/>
      <c r="F804" s="571" t="n"/>
      <c r="G804" s="533" t="n"/>
      <c r="H804" s="533" t="n"/>
    </row>
    <row r="805" ht="24" customHeight="1">
      <c r="A805" s="539" t="n"/>
      <c r="B805" s="533" t="n"/>
      <c r="C805" s="533" t="n"/>
      <c r="D805" s="575" t="n"/>
      <c r="E805" s="571" t="n"/>
      <c r="F805" s="571" t="n"/>
      <c r="G805" s="533" t="n"/>
      <c r="H805" s="533" t="n"/>
    </row>
    <row r="806" ht="24" customHeight="1">
      <c r="A806" s="539" t="n"/>
      <c r="B806" s="533" t="n"/>
      <c r="C806" s="533" t="n"/>
      <c r="D806" s="575" t="n"/>
      <c r="E806" s="571" t="n"/>
      <c r="F806" s="571" t="n"/>
      <c r="G806" s="533" t="n"/>
      <c r="H806" s="533" t="n"/>
    </row>
    <row r="807" ht="24" customHeight="1">
      <c r="A807" s="539" t="n"/>
      <c r="B807" s="533" t="n"/>
      <c r="C807" s="533" t="n"/>
      <c r="D807" s="575" t="n"/>
      <c r="E807" s="571" t="n"/>
      <c r="F807" s="571" t="n"/>
      <c r="G807" s="533" t="n"/>
      <c r="H807" s="533" t="n"/>
    </row>
    <row r="808" ht="24" customHeight="1">
      <c r="A808" s="539" t="n"/>
      <c r="B808" s="533" t="n"/>
      <c r="C808" s="533" t="n"/>
      <c r="D808" s="575" t="n"/>
      <c r="E808" s="571" t="n"/>
      <c r="F808" s="571" t="n"/>
      <c r="G808" s="533" t="n"/>
      <c r="H808" s="533" t="n"/>
    </row>
    <row r="809" ht="24" customHeight="1">
      <c r="A809" s="539" t="n"/>
      <c r="B809" s="533" t="n"/>
      <c r="C809" s="533" t="n"/>
      <c r="D809" s="575" t="n"/>
      <c r="E809" s="571" t="n"/>
      <c r="F809" s="571" t="n"/>
      <c r="G809" s="533" t="n"/>
      <c r="H809" s="533" t="n"/>
    </row>
    <row r="810" ht="24" customHeight="1">
      <c r="A810" s="539" t="n"/>
      <c r="B810" s="533" t="n"/>
      <c r="C810" s="533" t="n"/>
      <c r="D810" s="575" t="n"/>
      <c r="E810" s="571" t="n"/>
      <c r="F810" s="571" t="n"/>
      <c r="G810" s="533" t="n"/>
      <c r="H810" s="533" t="n"/>
    </row>
    <row r="811" ht="24" customHeight="1">
      <c r="A811" s="539" t="n"/>
      <c r="B811" s="533" t="n"/>
      <c r="C811" s="533" t="n"/>
      <c r="D811" s="575" t="n"/>
      <c r="E811" s="571" t="n"/>
      <c r="F811" s="571" t="n"/>
      <c r="G811" s="533" t="n"/>
      <c r="H811" s="533" t="n"/>
    </row>
    <row r="812" ht="24" customHeight="1">
      <c r="A812" s="539" t="n"/>
      <c r="B812" s="533" t="n"/>
      <c r="C812" s="533" t="n"/>
      <c r="D812" s="575" t="n"/>
      <c r="E812" s="571" t="n"/>
      <c r="F812" s="571" t="n"/>
      <c r="G812" s="533" t="n"/>
      <c r="H812" s="533" t="n"/>
    </row>
    <row r="813" ht="24" customHeight="1">
      <c r="A813" s="539" t="n"/>
      <c r="B813" s="533" t="n"/>
      <c r="C813" s="533" t="n"/>
      <c r="D813" s="575" t="n"/>
      <c r="E813" s="571" t="n"/>
      <c r="F813" s="571" t="n"/>
      <c r="G813" s="533" t="n"/>
      <c r="H813" s="533" t="n"/>
    </row>
    <row r="814" ht="24" customHeight="1">
      <c r="A814" s="539" t="n"/>
      <c r="B814" s="533" t="n"/>
      <c r="C814" s="533" t="n"/>
      <c r="D814" s="575" t="n"/>
      <c r="E814" s="571" t="n"/>
      <c r="F814" s="571" t="n"/>
      <c r="G814" s="533" t="n"/>
      <c r="H814" s="533" t="n"/>
    </row>
    <row r="815" ht="24" customHeight="1">
      <c r="A815" s="539" t="n"/>
      <c r="B815" s="533" t="n"/>
      <c r="C815" s="533" t="n"/>
      <c r="D815" s="575" t="n"/>
      <c r="E815" s="571" t="n"/>
      <c r="F815" s="571" t="n"/>
      <c r="G815" s="533" t="n"/>
      <c r="H815" s="533" t="n"/>
    </row>
    <row r="816" ht="24" customHeight="1">
      <c r="A816" s="539" t="n"/>
      <c r="B816" s="533" t="n"/>
      <c r="C816" s="533" t="n"/>
      <c r="D816" s="575" t="n"/>
      <c r="E816" s="571" t="n"/>
      <c r="F816" s="571" t="n"/>
      <c r="G816" s="533" t="n"/>
      <c r="H816" s="533" t="n"/>
    </row>
    <row r="817" ht="24" customHeight="1">
      <c r="A817" s="539" t="n"/>
      <c r="B817" s="533" t="n"/>
      <c r="C817" s="533" t="n"/>
      <c r="D817" s="575" t="n"/>
      <c r="E817" s="571" t="n"/>
      <c r="F817" s="571" t="n"/>
      <c r="G817" s="533" t="n"/>
      <c r="H817" s="533" t="n"/>
    </row>
    <row r="818" ht="24" customHeight="1">
      <c r="A818" s="539" t="n"/>
      <c r="B818" s="533" t="n"/>
      <c r="C818" s="533" t="n"/>
      <c r="D818" s="575" t="n"/>
      <c r="E818" s="571" t="n"/>
      <c r="F818" s="571" t="n"/>
      <c r="G818" s="533" t="n"/>
      <c r="H818" s="533" t="n"/>
    </row>
    <row r="819" ht="24" customHeight="1">
      <c r="A819" s="539" t="n"/>
      <c r="B819" s="533" t="n"/>
      <c r="C819" s="533" t="n"/>
      <c r="D819" s="575" t="n"/>
      <c r="E819" s="571" t="n"/>
      <c r="F819" s="571" t="n"/>
      <c r="G819" s="533" t="n"/>
      <c r="H819" s="533" t="n"/>
    </row>
    <row r="820" ht="24" customHeight="1">
      <c r="A820" s="539" t="n"/>
      <c r="B820" s="533" t="n"/>
      <c r="C820" s="533" t="n"/>
      <c r="D820" s="575" t="n"/>
      <c r="E820" s="571" t="n"/>
      <c r="F820" s="571" t="n"/>
      <c r="G820" s="533" t="n"/>
      <c r="H820" s="533" t="n"/>
    </row>
    <row r="821" ht="24" customHeight="1">
      <c r="A821" s="539" t="n"/>
      <c r="B821" s="533" t="n"/>
      <c r="C821" s="533" t="n"/>
      <c r="D821" s="575" t="n"/>
      <c r="E821" s="571" t="n"/>
      <c r="F821" s="571" t="n"/>
      <c r="G821" s="533" t="n"/>
      <c r="H821" s="533" t="n"/>
    </row>
    <row r="822" ht="24" customHeight="1">
      <c r="A822" s="539" t="n"/>
      <c r="B822" s="533" t="n"/>
      <c r="C822" s="533" t="n"/>
      <c r="D822" s="575" t="n"/>
      <c r="E822" s="571" t="n"/>
      <c r="F822" s="571" t="n"/>
      <c r="G822" s="533" t="n"/>
      <c r="H822" s="533" t="n"/>
    </row>
    <row r="823" ht="24" customHeight="1">
      <c r="A823" s="539" t="n"/>
      <c r="B823" s="533" t="n"/>
      <c r="C823" s="533" t="n"/>
      <c r="D823" s="575" t="n"/>
      <c r="E823" s="571" t="n"/>
      <c r="F823" s="571" t="n"/>
      <c r="G823" s="533" t="n"/>
      <c r="H823" s="533" t="n"/>
    </row>
    <row r="824" ht="24" customHeight="1">
      <c r="A824" s="539" t="n"/>
      <c r="B824" s="533" t="n"/>
      <c r="C824" s="533" t="n"/>
      <c r="D824" s="575" t="n"/>
      <c r="E824" s="571" t="n"/>
      <c r="F824" s="571" t="n"/>
      <c r="G824" s="533" t="n"/>
      <c r="H824" s="533" t="n"/>
    </row>
    <row r="825" ht="24" customHeight="1">
      <c r="A825" s="539" t="n"/>
      <c r="B825" s="533" t="n"/>
      <c r="C825" s="533" t="n"/>
      <c r="D825" s="575" t="n"/>
      <c r="E825" s="571" t="n"/>
      <c r="F825" s="571" t="n"/>
      <c r="G825" s="533" t="n"/>
      <c r="H825" s="533" t="n"/>
    </row>
    <row r="826" ht="24" customHeight="1">
      <c r="A826" s="539" t="n"/>
      <c r="B826" s="533" t="n"/>
      <c r="C826" s="533" t="n"/>
      <c r="D826" s="575" t="n"/>
      <c r="E826" s="571" t="n"/>
      <c r="F826" s="571" t="n"/>
      <c r="G826" s="533" t="n"/>
      <c r="H826" s="533" t="n"/>
    </row>
    <row r="827" ht="24" customHeight="1">
      <c r="A827" s="539" t="n"/>
      <c r="B827" s="533" t="n"/>
      <c r="C827" s="533" t="n"/>
      <c r="D827" s="575" t="n"/>
      <c r="E827" s="571" t="n"/>
      <c r="F827" s="571" t="n"/>
      <c r="G827" s="533" t="n"/>
      <c r="H827" s="533" t="n"/>
    </row>
    <row r="828" ht="24" customHeight="1">
      <c r="A828" s="539" t="n"/>
      <c r="B828" s="533" t="n"/>
      <c r="C828" s="533" t="n"/>
      <c r="D828" s="575" t="n"/>
      <c r="E828" s="571" t="n"/>
      <c r="F828" s="571" t="n"/>
      <c r="G828" s="533" t="n"/>
      <c r="H828" s="533" t="n"/>
    </row>
    <row r="829" ht="24" customHeight="1">
      <c r="A829" s="539" t="n"/>
      <c r="B829" s="533" t="n"/>
      <c r="C829" s="533" t="n"/>
      <c r="D829" s="575" t="n"/>
      <c r="E829" s="571" t="n"/>
      <c r="F829" s="571" t="n"/>
      <c r="G829" s="533" t="n"/>
      <c r="H829" s="533" t="n"/>
    </row>
    <row r="830" ht="24" customHeight="1">
      <c r="A830" s="539" t="n"/>
      <c r="B830" s="533" t="n"/>
      <c r="C830" s="533" t="n"/>
      <c r="D830" s="575" t="n"/>
      <c r="E830" s="571" t="n"/>
      <c r="F830" s="571" t="n"/>
      <c r="G830" s="533" t="n"/>
      <c r="H830" s="533" t="n"/>
    </row>
    <row r="831" ht="24" customHeight="1">
      <c r="A831" s="539" t="n"/>
      <c r="B831" s="533" t="n"/>
      <c r="C831" s="533" t="n"/>
      <c r="D831" s="575" t="n"/>
      <c r="E831" s="571" t="n"/>
      <c r="F831" s="571" t="n"/>
      <c r="G831" s="533" t="n"/>
      <c r="H831" s="533" t="n"/>
    </row>
    <row r="832" ht="24" customHeight="1">
      <c r="A832" s="539" t="n"/>
      <c r="B832" s="533" t="n"/>
      <c r="C832" s="533" t="n"/>
      <c r="D832" s="575" t="n"/>
      <c r="E832" s="571" t="n"/>
      <c r="F832" s="571" t="n"/>
      <c r="G832" s="533" t="n"/>
      <c r="H832" s="533" t="n"/>
    </row>
    <row r="833" ht="24" customHeight="1">
      <c r="A833" s="539" t="n"/>
      <c r="B833" s="533" t="n"/>
      <c r="C833" s="533" t="n"/>
      <c r="D833" s="575" t="n"/>
      <c r="E833" s="571" t="n"/>
      <c r="F833" s="571" t="n"/>
      <c r="G833" s="533" t="n"/>
      <c r="H833" s="533" t="n"/>
    </row>
    <row r="834" ht="24" customHeight="1">
      <c r="A834" s="539" t="n"/>
      <c r="B834" s="533" t="n"/>
      <c r="C834" s="533" t="n"/>
      <c r="D834" s="575" t="n"/>
      <c r="E834" s="571" t="n"/>
      <c r="F834" s="571" t="n"/>
      <c r="G834" s="533" t="n"/>
      <c r="H834" s="533" t="n"/>
    </row>
    <row r="835" ht="24" customHeight="1">
      <c r="A835" s="539" t="n"/>
      <c r="B835" s="533" t="n"/>
      <c r="C835" s="533" t="n"/>
      <c r="D835" s="575" t="n"/>
      <c r="E835" s="571" t="n"/>
      <c r="F835" s="571" t="n"/>
      <c r="G835" s="533" t="n"/>
      <c r="H835" s="533" t="n"/>
    </row>
    <row r="836" ht="24" customHeight="1">
      <c r="A836" s="539" t="n"/>
      <c r="B836" s="533" t="n"/>
      <c r="C836" s="533" t="n"/>
      <c r="D836" s="575" t="n"/>
      <c r="E836" s="571" t="n"/>
      <c r="F836" s="571" t="n"/>
      <c r="G836" s="533" t="n"/>
      <c r="H836" s="533" t="n"/>
    </row>
    <row r="837" ht="24" customHeight="1">
      <c r="A837" s="539" t="n"/>
      <c r="B837" s="533" t="n"/>
      <c r="C837" s="533" t="n"/>
      <c r="D837" s="575" t="n"/>
      <c r="E837" s="571" t="n"/>
      <c r="F837" s="571" t="n"/>
      <c r="G837" s="533" t="n"/>
      <c r="H837" s="533" t="n"/>
    </row>
    <row r="838" ht="24" customHeight="1">
      <c r="A838" s="539" t="n"/>
      <c r="B838" s="533" t="n"/>
      <c r="C838" s="533" t="n"/>
      <c r="D838" s="575" t="n"/>
      <c r="E838" s="571" t="n"/>
      <c r="F838" s="571" t="n"/>
      <c r="G838" s="533" t="n"/>
      <c r="H838" s="533" t="n"/>
    </row>
    <row r="839" ht="24" customHeight="1">
      <c r="A839" s="539" t="n"/>
      <c r="B839" s="533" t="n"/>
      <c r="C839" s="533" t="n"/>
      <c r="D839" s="575" t="n"/>
      <c r="E839" s="571" t="n"/>
      <c r="F839" s="571" t="n"/>
      <c r="G839" s="533" t="n"/>
      <c r="H839" s="533" t="n"/>
    </row>
    <row r="840" ht="24" customHeight="1">
      <c r="A840" s="539" t="n"/>
      <c r="B840" s="533" t="n"/>
      <c r="C840" s="533" t="n"/>
      <c r="D840" s="575" t="n"/>
      <c r="E840" s="571" t="n"/>
      <c r="F840" s="571" t="n"/>
      <c r="G840" s="533" t="n"/>
      <c r="H840" s="533" t="n"/>
    </row>
    <row r="841" ht="24" customHeight="1">
      <c r="A841" s="539" t="n"/>
      <c r="B841" s="533" t="n"/>
      <c r="C841" s="533" t="n"/>
      <c r="D841" s="575" t="n"/>
      <c r="E841" s="571" t="n"/>
      <c r="F841" s="571" t="n"/>
      <c r="G841" s="533" t="n"/>
      <c r="H841" s="533" t="n"/>
    </row>
    <row r="842" ht="24" customHeight="1">
      <c r="A842" s="539" t="n"/>
      <c r="B842" s="533" t="n"/>
      <c r="C842" s="533" t="n"/>
      <c r="D842" s="575" t="n"/>
      <c r="E842" s="571" t="n"/>
      <c r="F842" s="571" t="n"/>
      <c r="G842" s="533" t="n"/>
      <c r="H842" s="533" t="n"/>
    </row>
    <row r="843" ht="24" customHeight="1">
      <c r="A843" s="539" t="n"/>
      <c r="B843" s="533" t="n"/>
      <c r="C843" s="533" t="n"/>
      <c r="D843" s="575" t="n"/>
      <c r="E843" s="571" t="n"/>
      <c r="F843" s="571" t="n"/>
      <c r="G843" s="533" t="n"/>
      <c r="H843" s="533" t="n"/>
    </row>
    <row r="844" ht="24" customHeight="1">
      <c r="A844" s="539" t="n"/>
      <c r="B844" s="533" t="n"/>
      <c r="C844" s="533" t="n"/>
      <c r="D844" s="575" t="n"/>
      <c r="E844" s="571" t="n"/>
      <c r="F844" s="571" t="n"/>
      <c r="G844" s="533" t="n"/>
      <c r="H844" s="533" t="n"/>
    </row>
    <row r="845" ht="24" customHeight="1">
      <c r="A845" s="539" t="n"/>
      <c r="B845" s="533" t="n"/>
      <c r="C845" s="533" t="n"/>
      <c r="D845" s="575" t="n"/>
      <c r="E845" s="571" t="n"/>
      <c r="F845" s="571" t="n"/>
      <c r="G845" s="533" t="n"/>
      <c r="H845" s="533" t="n"/>
    </row>
    <row r="846" ht="24" customHeight="1">
      <c r="A846" s="539" t="n"/>
      <c r="B846" s="533" t="n"/>
      <c r="C846" s="533" t="n"/>
      <c r="D846" s="575" t="n"/>
      <c r="E846" s="571" t="n"/>
      <c r="F846" s="571" t="n"/>
      <c r="G846" s="533" t="n"/>
      <c r="H846" s="533" t="n"/>
    </row>
    <row r="847" ht="24" customHeight="1">
      <c r="A847" s="539" t="n"/>
      <c r="B847" s="533" t="n"/>
      <c r="C847" s="533" t="n"/>
      <c r="D847" s="575" t="n"/>
      <c r="E847" s="571" t="n"/>
      <c r="F847" s="571" t="n"/>
      <c r="G847" s="533" t="n"/>
      <c r="H847" s="533" t="n"/>
    </row>
    <row r="848" ht="24" customHeight="1">
      <c r="A848" s="539" t="n"/>
      <c r="B848" s="533" t="n"/>
      <c r="C848" s="533" t="n"/>
      <c r="D848" s="575" t="n"/>
      <c r="E848" s="571" t="n"/>
      <c r="F848" s="571" t="n"/>
      <c r="G848" s="533" t="n"/>
      <c r="H848" s="533" t="n"/>
    </row>
    <row r="849" ht="24" customHeight="1">
      <c r="A849" s="539" t="n"/>
      <c r="B849" s="533" t="n"/>
      <c r="C849" s="533" t="n"/>
      <c r="D849" s="575" t="n"/>
      <c r="E849" s="571" t="n"/>
      <c r="F849" s="571" t="n"/>
      <c r="G849" s="533" t="n"/>
      <c r="H849" s="533" t="n"/>
    </row>
    <row r="850" ht="24" customHeight="1">
      <c r="A850" s="539" t="n"/>
      <c r="B850" s="533" t="n"/>
      <c r="C850" s="533" t="n"/>
      <c r="D850" s="575" t="n"/>
      <c r="E850" s="571" t="n"/>
      <c r="F850" s="571" t="n"/>
      <c r="G850" s="533" t="n"/>
      <c r="H850" s="533" t="n"/>
    </row>
    <row r="851" ht="24" customHeight="1">
      <c r="A851" s="539" t="n"/>
      <c r="B851" s="533" t="n"/>
      <c r="C851" s="533" t="n"/>
      <c r="D851" s="575" t="n"/>
      <c r="E851" s="571" t="n"/>
      <c r="F851" s="571" t="n"/>
      <c r="G851" s="533" t="n"/>
      <c r="H851" s="533" t="n"/>
    </row>
    <row r="852" ht="24" customHeight="1">
      <c r="A852" s="539" t="n"/>
      <c r="B852" s="533" t="n"/>
      <c r="C852" s="533" t="n"/>
      <c r="D852" s="575" t="n"/>
      <c r="E852" s="571" t="n"/>
      <c r="F852" s="571" t="n"/>
      <c r="G852" s="533" t="n"/>
      <c r="H852" s="533" t="n"/>
    </row>
    <row r="853" ht="24" customHeight="1">
      <c r="A853" s="539" t="n"/>
      <c r="B853" s="533" t="n"/>
      <c r="C853" s="533" t="n"/>
      <c r="D853" s="575" t="n"/>
      <c r="E853" s="571" t="n"/>
      <c r="F853" s="571" t="n"/>
      <c r="G853" s="533" t="n"/>
      <c r="H853" s="533" t="n"/>
    </row>
    <row r="854" ht="24" customHeight="1">
      <c r="A854" s="539" t="n"/>
      <c r="B854" s="533" t="n"/>
      <c r="C854" s="533" t="n"/>
      <c r="D854" s="575" t="n"/>
      <c r="E854" s="571" t="n"/>
      <c r="F854" s="571" t="n"/>
      <c r="G854" s="533" t="n"/>
      <c r="H854" s="533" t="n"/>
    </row>
    <row r="855" ht="24" customHeight="1">
      <c r="A855" s="539" t="n"/>
      <c r="B855" s="533" t="n"/>
      <c r="C855" s="533" t="n"/>
      <c r="D855" s="575" t="n"/>
      <c r="E855" s="571" t="n"/>
      <c r="F855" s="571" t="n"/>
      <c r="G855" s="533" t="n"/>
      <c r="H855" s="533" t="n"/>
    </row>
    <row r="856" ht="24" customHeight="1">
      <c r="A856" s="539" t="n"/>
      <c r="B856" s="533" t="n"/>
      <c r="C856" s="533" t="n"/>
      <c r="D856" s="575" t="n"/>
      <c r="E856" s="571" t="n"/>
      <c r="F856" s="571" t="n"/>
      <c r="G856" s="533" t="n"/>
      <c r="H856" s="533" t="n"/>
    </row>
    <row r="857" ht="24" customHeight="1">
      <c r="A857" s="539" t="n"/>
      <c r="B857" s="533" t="n"/>
      <c r="C857" s="533" t="n"/>
      <c r="D857" s="575" t="n"/>
      <c r="E857" s="571" t="n"/>
      <c r="F857" s="571" t="n"/>
      <c r="G857" s="533" t="n"/>
      <c r="H857" s="533" t="n"/>
    </row>
    <row r="858" ht="24" customHeight="1">
      <c r="A858" s="539" t="n"/>
      <c r="B858" s="533" t="n"/>
      <c r="C858" s="533" t="n"/>
      <c r="D858" s="575" t="n"/>
      <c r="E858" s="571" t="n"/>
      <c r="F858" s="571" t="n"/>
      <c r="G858" s="533" t="n"/>
      <c r="H858" s="533" t="n"/>
    </row>
    <row r="859" ht="24" customHeight="1">
      <c r="A859" s="539" t="n"/>
      <c r="B859" s="533" t="n"/>
      <c r="C859" s="533" t="n"/>
      <c r="D859" s="575" t="n"/>
      <c r="E859" s="571" t="n"/>
      <c r="F859" s="571" t="n"/>
      <c r="G859" s="533" t="n"/>
      <c r="H859" s="533" t="n"/>
    </row>
    <row r="860" ht="24" customHeight="1">
      <c r="A860" s="539" t="n"/>
      <c r="B860" s="533" t="n"/>
      <c r="C860" s="533" t="n"/>
      <c r="D860" s="575" t="n"/>
      <c r="E860" s="571" t="n"/>
      <c r="F860" s="571" t="n"/>
      <c r="G860" s="533" t="n"/>
      <c r="H860" s="533" t="n"/>
    </row>
    <row r="861" ht="24" customHeight="1">
      <c r="A861" s="539" t="n"/>
      <c r="B861" s="533" t="n"/>
      <c r="C861" s="533" t="n"/>
      <c r="D861" s="575" t="n"/>
      <c r="E861" s="571" t="n"/>
      <c r="F861" s="571" t="n"/>
      <c r="G861" s="533" t="n"/>
      <c r="H861" s="533" t="n"/>
    </row>
    <row r="862" ht="24" customHeight="1">
      <c r="A862" s="539" t="n"/>
      <c r="B862" s="533" t="n"/>
      <c r="C862" s="533" t="n"/>
      <c r="D862" s="575" t="n"/>
      <c r="E862" s="571" t="n"/>
      <c r="F862" s="571" t="n"/>
      <c r="G862" s="533" t="n"/>
      <c r="H862" s="533" t="n"/>
    </row>
    <row r="863" ht="24" customHeight="1">
      <c r="A863" s="539" t="n"/>
      <c r="B863" s="533" t="n"/>
      <c r="C863" s="533" t="n"/>
      <c r="D863" s="575" t="n"/>
      <c r="E863" s="571" t="n"/>
      <c r="F863" s="571" t="n"/>
      <c r="G863" s="533" t="n"/>
      <c r="H863" s="533" t="n"/>
    </row>
    <row r="864" ht="24" customHeight="1">
      <c r="A864" s="539" t="n"/>
      <c r="B864" s="533" t="n"/>
      <c r="C864" s="533" t="n"/>
      <c r="D864" s="575" t="n"/>
      <c r="E864" s="571" t="n"/>
      <c r="F864" s="571" t="n"/>
      <c r="G864" s="533" t="n"/>
      <c r="H864" s="533" t="n"/>
    </row>
    <row r="865" ht="24" customHeight="1">
      <c r="A865" s="539" t="n"/>
      <c r="B865" s="533" t="n"/>
      <c r="C865" s="533" t="n"/>
      <c r="D865" s="575" t="n"/>
      <c r="E865" s="571" t="n"/>
      <c r="F865" s="571" t="n"/>
      <c r="G865" s="533" t="n"/>
      <c r="H865" s="533" t="n"/>
    </row>
    <row r="866" ht="24" customHeight="1">
      <c r="A866" s="539" t="n"/>
      <c r="B866" s="533" t="n"/>
      <c r="C866" s="533" t="n"/>
      <c r="D866" s="575" t="n"/>
      <c r="E866" s="571" t="n"/>
      <c r="F866" s="571" t="n"/>
      <c r="G866" s="533" t="n"/>
      <c r="H866" s="533" t="n"/>
    </row>
    <row r="867" ht="24" customHeight="1">
      <c r="A867" s="539" t="n"/>
      <c r="B867" s="533" t="n"/>
      <c r="C867" s="533" t="n"/>
      <c r="D867" s="575" t="n"/>
      <c r="E867" s="571" t="n"/>
      <c r="F867" s="571" t="n"/>
      <c r="G867" s="533" t="n"/>
      <c r="H867" s="533" t="n"/>
    </row>
    <row r="868" ht="24" customHeight="1">
      <c r="A868" s="539" t="n"/>
      <c r="B868" s="533" t="n"/>
      <c r="C868" s="533" t="n"/>
      <c r="D868" s="575" t="n"/>
      <c r="E868" s="571" t="n"/>
      <c r="F868" s="571" t="n"/>
      <c r="G868" s="533" t="n"/>
      <c r="H868" s="533" t="n"/>
    </row>
    <row r="869" ht="24" customHeight="1">
      <c r="A869" s="539" t="n"/>
      <c r="B869" s="533" t="n"/>
      <c r="C869" s="533" t="n"/>
      <c r="D869" s="575" t="n"/>
      <c r="E869" s="571" t="n"/>
      <c r="F869" s="571" t="n"/>
      <c r="G869" s="533" t="n"/>
      <c r="H869" s="533" t="n"/>
    </row>
    <row r="870" ht="24" customHeight="1">
      <c r="A870" s="539" t="n"/>
      <c r="B870" s="533" t="n"/>
      <c r="C870" s="533" t="n"/>
      <c r="D870" s="575" t="n"/>
      <c r="E870" s="571" t="n"/>
      <c r="F870" s="571" t="n"/>
      <c r="G870" s="533" t="n"/>
      <c r="H870" s="533" t="n"/>
    </row>
    <row r="871" ht="24" customHeight="1">
      <c r="A871" s="539" t="n"/>
      <c r="B871" s="533" t="n"/>
      <c r="C871" s="533" t="n"/>
      <c r="D871" s="575" t="n"/>
      <c r="E871" s="571" t="n"/>
      <c r="F871" s="571" t="n"/>
      <c r="G871" s="533" t="n"/>
      <c r="H871" s="533" t="n"/>
    </row>
    <row r="872" ht="24" customHeight="1">
      <c r="A872" s="539" t="n"/>
      <c r="B872" s="533" t="n"/>
      <c r="C872" s="533" t="n"/>
      <c r="D872" s="575" t="n"/>
      <c r="E872" s="571" t="n"/>
      <c r="F872" s="571" t="n"/>
      <c r="G872" s="533" t="n"/>
      <c r="H872" s="533" t="n"/>
    </row>
    <row r="873" ht="24" customHeight="1">
      <c r="A873" s="539" t="n"/>
      <c r="B873" s="533" t="n"/>
      <c r="C873" s="533" t="n"/>
      <c r="D873" s="575" t="n"/>
      <c r="E873" s="571" t="n"/>
      <c r="F873" s="571" t="n"/>
      <c r="G873" s="533" t="n"/>
      <c r="H873" s="533" t="n"/>
    </row>
    <row r="874" ht="24" customHeight="1">
      <c r="A874" s="539" t="n"/>
      <c r="B874" s="533" t="n"/>
      <c r="C874" s="533" t="n"/>
      <c r="D874" s="575" t="n"/>
      <c r="E874" s="571" t="n"/>
      <c r="F874" s="571" t="n"/>
      <c r="G874" s="533" t="n"/>
      <c r="H874" s="533" t="n"/>
    </row>
    <row r="875" ht="24" customHeight="1">
      <c r="A875" s="539" t="n"/>
      <c r="B875" s="533" t="n"/>
      <c r="C875" s="533" t="n"/>
      <c r="D875" s="575" t="n"/>
      <c r="E875" s="571" t="n"/>
      <c r="F875" s="571" t="n"/>
      <c r="G875" s="533" t="n"/>
      <c r="H875" s="533" t="n"/>
    </row>
    <row r="876" ht="24" customHeight="1">
      <c r="A876" s="539" t="n"/>
      <c r="B876" s="533" t="n"/>
      <c r="C876" s="533" t="n"/>
      <c r="D876" s="575" t="n"/>
      <c r="E876" s="571" t="n"/>
      <c r="F876" s="571" t="n"/>
      <c r="G876" s="533" t="n"/>
      <c r="H876" s="533" t="n"/>
    </row>
    <row r="877" ht="24" customHeight="1">
      <c r="A877" s="539" t="n"/>
      <c r="B877" s="533" t="n"/>
      <c r="C877" s="533" t="n"/>
      <c r="D877" s="575" t="n"/>
      <c r="E877" s="571" t="n"/>
      <c r="F877" s="571" t="n"/>
      <c r="G877" s="533" t="n"/>
      <c r="H877" s="533" t="n"/>
    </row>
    <row r="878" ht="24" customHeight="1">
      <c r="A878" s="539" t="n"/>
      <c r="B878" s="533" t="n"/>
      <c r="C878" s="533" t="n"/>
      <c r="D878" s="575" t="n"/>
      <c r="E878" s="571" t="n"/>
      <c r="F878" s="571" t="n"/>
      <c r="G878" s="533" t="n"/>
      <c r="H878" s="533" t="n"/>
    </row>
    <row r="879" ht="24" customHeight="1">
      <c r="A879" s="539" t="n"/>
      <c r="B879" s="533" t="n"/>
      <c r="C879" s="533" t="n"/>
      <c r="D879" s="575" t="n"/>
      <c r="E879" s="571" t="n"/>
      <c r="F879" s="571" t="n"/>
      <c r="G879" s="533" t="n"/>
      <c r="H879" s="533" t="n"/>
    </row>
    <row r="880" ht="24" customHeight="1">
      <c r="A880" s="539" t="n"/>
      <c r="B880" s="533" t="n"/>
      <c r="C880" s="533" t="n"/>
      <c r="D880" s="575" t="n"/>
      <c r="E880" s="571" t="n"/>
      <c r="F880" s="571" t="n"/>
      <c r="G880" s="533" t="n"/>
      <c r="H880" s="533" t="n"/>
    </row>
    <row r="881" ht="24" customHeight="1">
      <c r="A881" s="539" t="n"/>
      <c r="B881" s="533" t="n"/>
      <c r="C881" s="533" t="n"/>
      <c r="D881" s="575" t="n"/>
      <c r="E881" s="571" t="n"/>
      <c r="F881" s="571" t="n"/>
      <c r="G881" s="533" t="n"/>
      <c r="H881" s="533" t="n"/>
    </row>
    <row r="882" ht="24" customHeight="1">
      <c r="A882" s="539" t="n"/>
      <c r="B882" s="533" t="n"/>
      <c r="C882" s="533" t="n"/>
      <c r="D882" s="575" t="n"/>
      <c r="E882" s="571" t="n"/>
      <c r="F882" s="571" t="n"/>
      <c r="G882" s="533" t="n"/>
      <c r="H882" s="533" t="n"/>
    </row>
    <row r="883" ht="24" customHeight="1">
      <c r="A883" s="539" t="n"/>
      <c r="B883" s="533" t="n"/>
      <c r="C883" s="533" t="n"/>
      <c r="D883" s="575" t="n"/>
      <c r="E883" s="571" t="n"/>
      <c r="F883" s="571" t="n"/>
      <c r="G883" s="533" t="n"/>
      <c r="H883" s="533" t="n"/>
    </row>
    <row r="884" ht="24" customHeight="1">
      <c r="A884" s="539" t="n"/>
      <c r="B884" s="533" t="n"/>
      <c r="C884" s="533" t="n"/>
      <c r="D884" s="575" t="n"/>
      <c r="E884" s="571" t="n"/>
      <c r="F884" s="571" t="n"/>
      <c r="G884" s="533" t="n"/>
      <c r="H884" s="533" t="n"/>
    </row>
    <row r="885" ht="24" customHeight="1">
      <c r="A885" s="539" t="n"/>
      <c r="B885" s="533" t="n"/>
      <c r="C885" s="533" t="n"/>
      <c r="D885" s="575" t="n"/>
      <c r="E885" s="571" t="n"/>
      <c r="F885" s="571" t="n"/>
      <c r="G885" s="533" t="n"/>
      <c r="H885" s="533" t="n"/>
    </row>
    <row r="886" ht="24" customHeight="1">
      <c r="A886" s="539" t="n"/>
      <c r="B886" s="533" t="n"/>
      <c r="C886" s="533" t="n"/>
      <c r="D886" s="575" t="n"/>
      <c r="E886" s="571" t="n"/>
      <c r="F886" s="571" t="n"/>
      <c r="G886" s="533" t="n"/>
      <c r="H886" s="533" t="n"/>
    </row>
    <row r="887" ht="24" customHeight="1">
      <c r="A887" s="539" t="n"/>
      <c r="B887" s="533" t="n"/>
      <c r="C887" s="533" t="n"/>
      <c r="D887" s="575" t="n"/>
      <c r="E887" s="571" t="n"/>
      <c r="F887" s="571" t="n"/>
      <c r="G887" s="533" t="n"/>
      <c r="H887" s="533" t="n"/>
    </row>
    <row r="888" ht="24" customHeight="1">
      <c r="A888" s="539" t="n"/>
      <c r="B888" s="533" t="n"/>
      <c r="C888" s="533" t="n"/>
      <c r="D888" s="575" t="n"/>
      <c r="E888" s="571" t="n"/>
      <c r="F888" s="571" t="n"/>
      <c r="G888" s="533" t="n"/>
      <c r="H888" s="533" t="n"/>
    </row>
    <row r="889" ht="24" customHeight="1">
      <c r="A889" s="539" t="n"/>
      <c r="B889" s="533" t="n"/>
      <c r="C889" s="533" t="n"/>
      <c r="D889" s="575" t="n"/>
      <c r="E889" s="571" t="n"/>
      <c r="F889" s="571" t="n"/>
      <c r="G889" s="533" t="n"/>
      <c r="H889" s="533" t="n"/>
    </row>
    <row r="890" ht="24" customHeight="1">
      <c r="A890" s="539" t="n"/>
      <c r="B890" s="533" t="n"/>
      <c r="C890" s="533" t="n"/>
      <c r="D890" s="575" t="n"/>
      <c r="E890" s="571" t="n"/>
      <c r="F890" s="571" t="n"/>
      <c r="G890" s="533" t="n"/>
      <c r="H890" s="533" t="n"/>
    </row>
    <row r="891" ht="24" customHeight="1">
      <c r="A891" s="539" t="n"/>
      <c r="B891" s="533" t="n"/>
      <c r="C891" s="533" t="n"/>
      <c r="D891" s="575" t="n"/>
      <c r="E891" s="571" t="n"/>
      <c r="F891" s="571" t="n"/>
      <c r="G891" s="533" t="n"/>
      <c r="H891" s="533" t="n"/>
    </row>
    <row r="892" ht="24" customHeight="1">
      <c r="A892" s="539" t="n"/>
      <c r="B892" s="533" t="n"/>
      <c r="C892" s="533" t="n"/>
      <c r="D892" s="575" t="n"/>
      <c r="E892" s="571" t="n"/>
      <c r="F892" s="571" t="n"/>
      <c r="G892" s="533" t="n"/>
      <c r="H892" s="533" t="n"/>
    </row>
    <row r="893" ht="24" customHeight="1">
      <c r="A893" s="539" t="n"/>
      <c r="B893" s="533" t="n"/>
      <c r="C893" s="533" t="n"/>
      <c r="D893" s="575" t="n"/>
      <c r="E893" s="571" t="n"/>
      <c r="F893" s="571" t="n"/>
      <c r="G893" s="533" t="n"/>
      <c r="H893" s="533" t="n"/>
    </row>
    <row r="894" ht="24" customHeight="1">
      <c r="A894" s="539" t="n"/>
      <c r="B894" s="533" t="n"/>
      <c r="C894" s="533" t="n"/>
      <c r="D894" s="575" t="n"/>
      <c r="E894" s="571" t="n"/>
      <c r="F894" s="571" t="n"/>
      <c r="G894" s="533" t="n"/>
      <c r="H894" s="533" t="n"/>
    </row>
    <row r="895" ht="24" customHeight="1">
      <c r="A895" s="539" t="n"/>
      <c r="B895" s="533" t="n"/>
      <c r="C895" s="533" t="n"/>
      <c r="D895" s="575" t="n"/>
      <c r="E895" s="571" t="n"/>
      <c r="F895" s="571" t="n"/>
      <c r="G895" s="533" t="n"/>
      <c r="H895" s="533" t="n"/>
    </row>
    <row r="896" ht="24" customHeight="1">
      <c r="A896" s="539" t="n"/>
      <c r="B896" s="533" t="n"/>
      <c r="C896" s="533" t="n"/>
      <c r="D896" s="575" t="n"/>
      <c r="E896" s="571" t="n"/>
      <c r="F896" s="571" t="n"/>
      <c r="G896" s="533" t="n"/>
      <c r="H896" s="533" t="n"/>
    </row>
    <row r="897" ht="24" customHeight="1">
      <c r="A897" s="539" t="n"/>
      <c r="B897" s="533" t="n"/>
      <c r="C897" s="533" t="n"/>
      <c r="D897" s="575" t="n"/>
      <c r="E897" s="571" t="n"/>
      <c r="F897" s="571" t="n"/>
      <c r="G897" s="533" t="n"/>
      <c r="H897" s="533" t="n"/>
    </row>
    <row r="898" ht="24" customHeight="1">
      <c r="A898" s="539" t="n"/>
      <c r="B898" s="533" t="n"/>
      <c r="C898" s="533" t="n"/>
      <c r="D898" s="575" t="n"/>
      <c r="E898" s="571" t="n"/>
      <c r="F898" s="571" t="n"/>
      <c r="G898" s="533" t="n"/>
      <c r="H898" s="533" t="n"/>
    </row>
    <row r="899" ht="24" customHeight="1">
      <c r="A899" s="539" t="n"/>
      <c r="B899" s="533" t="n"/>
      <c r="C899" s="533" t="n"/>
      <c r="D899" s="575" t="n"/>
      <c r="E899" s="571" t="n"/>
      <c r="F899" s="571" t="n"/>
      <c r="G899" s="533" t="n"/>
      <c r="H899" s="533" t="n"/>
    </row>
    <row r="900" ht="24" customHeight="1">
      <c r="A900" s="539" t="n"/>
      <c r="B900" s="533" t="n"/>
      <c r="C900" s="533" t="n"/>
      <c r="D900" s="575" t="n"/>
      <c r="E900" s="571" t="n"/>
      <c r="F900" s="571" t="n"/>
      <c r="G900" s="533" t="n"/>
      <c r="H900" s="533" t="n"/>
    </row>
    <row r="901" ht="24" customHeight="1">
      <c r="A901" s="539" t="n"/>
      <c r="B901" s="533" t="n"/>
      <c r="C901" s="533" t="n"/>
      <c r="D901" s="575" t="n"/>
      <c r="E901" s="571" t="n"/>
      <c r="F901" s="571" t="n"/>
      <c r="G901" s="533" t="n"/>
      <c r="H901" s="533" t="n"/>
    </row>
    <row r="902" ht="24" customHeight="1">
      <c r="A902" s="539" t="n"/>
      <c r="B902" s="533" t="n"/>
      <c r="C902" s="533" t="n"/>
      <c r="D902" s="575" t="n"/>
      <c r="E902" s="571" t="n"/>
      <c r="F902" s="571" t="n"/>
      <c r="G902" s="533" t="n"/>
      <c r="H902" s="533" t="n"/>
    </row>
    <row r="903" ht="24" customHeight="1">
      <c r="A903" s="539" t="n"/>
      <c r="B903" s="533" t="n"/>
      <c r="C903" s="533" t="n"/>
      <c r="D903" s="575" t="n"/>
      <c r="E903" s="571" t="n"/>
      <c r="F903" s="571" t="n"/>
      <c r="G903" s="533" t="n"/>
      <c r="H903" s="533" t="n"/>
    </row>
    <row r="904" ht="24" customHeight="1">
      <c r="A904" s="539" t="n"/>
      <c r="B904" s="533" t="n"/>
      <c r="C904" s="533" t="n"/>
      <c r="D904" s="575" t="n"/>
      <c r="E904" s="571" t="n"/>
      <c r="F904" s="571" t="n"/>
      <c r="G904" s="533" t="n"/>
      <c r="H904" s="533" t="n"/>
    </row>
    <row r="905" ht="24" customHeight="1">
      <c r="A905" s="539" t="n"/>
      <c r="B905" s="533" t="n"/>
      <c r="C905" s="533" t="n"/>
      <c r="D905" s="575" t="n"/>
      <c r="E905" s="571" t="n"/>
      <c r="F905" s="571" t="n"/>
      <c r="G905" s="533" t="n"/>
      <c r="H905" s="533" t="n"/>
    </row>
    <row r="906" ht="24" customHeight="1">
      <c r="A906" s="539" t="n"/>
      <c r="B906" s="533" t="n"/>
      <c r="C906" s="533" t="n"/>
      <c r="D906" s="575" t="n"/>
      <c r="E906" s="571" t="n"/>
      <c r="F906" s="571" t="n"/>
      <c r="G906" s="533" t="n"/>
      <c r="H906" s="533" t="n"/>
    </row>
    <row r="907" ht="24" customHeight="1">
      <c r="A907" s="539" t="n"/>
      <c r="B907" s="533" t="n"/>
      <c r="C907" s="533" t="n"/>
      <c r="D907" s="575" t="n"/>
      <c r="E907" s="571" t="n"/>
      <c r="F907" s="571" t="n"/>
      <c r="G907" s="533" t="n"/>
      <c r="H907" s="533" t="n"/>
    </row>
    <row r="908" ht="24" customHeight="1">
      <c r="A908" s="539" t="n"/>
      <c r="B908" s="533" t="n"/>
      <c r="C908" s="533" t="n"/>
      <c r="D908" s="575" t="n"/>
      <c r="E908" s="571" t="n"/>
      <c r="F908" s="571" t="n"/>
      <c r="G908" s="533" t="n"/>
      <c r="H908" s="533" t="n"/>
    </row>
    <row r="909" ht="24" customHeight="1">
      <c r="A909" s="539" t="n"/>
      <c r="B909" s="533" t="n"/>
      <c r="C909" s="533" t="n"/>
      <c r="D909" s="575" t="n"/>
      <c r="E909" s="571" t="n"/>
      <c r="F909" s="571" t="n"/>
      <c r="G909" s="533" t="n"/>
      <c r="H909" s="533" t="n"/>
    </row>
    <row r="910" ht="24" customHeight="1">
      <c r="A910" s="539" t="n"/>
      <c r="B910" s="533" t="n"/>
      <c r="C910" s="533" t="n"/>
      <c r="D910" s="575" t="n"/>
      <c r="E910" s="571" t="n"/>
      <c r="F910" s="571" t="n"/>
      <c r="G910" s="533" t="n"/>
      <c r="H910" s="533" t="n"/>
    </row>
    <row r="911" ht="24" customHeight="1">
      <c r="A911" s="539" t="n"/>
      <c r="B911" s="533" t="n"/>
      <c r="C911" s="533" t="n"/>
      <c r="D911" s="575" t="n"/>
      <c r="E911" s="571" t="n"/>
      <c r="F911" s="571" t="n"/>
      <c r="G911" s="533" t="n"/>
      <c r="H911" s="533" t="n"/>
    </row>
    <row r="912" ht="24" customHeight="1">
      <c r="A912" s="539" t="n"/>
      <c r="B912" s="533" t="n"/>
      <c r="C912" s="533" t="n"/>
      <c r="D912" s="575" t="n"/>
      <c r="E912" s="571" t="n"/>
      <c r="F912" s="571" t="n"/>
      <c r="G912" s="533" t="n"/>
      <c r="H912" s="533" t="n"/>
    </row>
    <row r="913" ht="24" customHeight="1">
      <c r="A913" s="539" t="n"/>
      <c r="B913" s="533" t="n"/>
      <c r="C913" s="533" t="n"/>
      <c r="D913" s="575" t="n"/>
      <c r="E913" s="571" t="n"/>
      <c r="F913" s="571" t="n"/>
      <c r="G913" s="533" t="n"/>
      <c r="H913" s="533" t="n"/>
    </row>
    <row r="914" ht="24" customHeight="1">
      <c r="A914" s="539" t="n"/>
      <c r="B914" s="533" t="n"/>
      <c r="C914" s="533" t="n"/>
      <c r="D914" s="575" t="n"/>
      <c r="E914" s="571" t="n"/>
      <c r="F914" s="571" t="n"/>
      <c r="G914" s="533" t="n"/>
      <c r="H914" s="533" t="n"/>
    </row>
    <row r="915" ht="24" customHeight="1">
      <c r="A915" s="539" t="n"/>
      <c r="B915" s="533" t="n"/>
      <c r="C915" s="533" t="n"/>
      <c r="D915" s="575" t="n"/>
      <c r="E915" s="571" t="n"/>
      <c r="F915" s="571" t="n"/>
      <c r="G915" s="533" t="n"/>
      <c r="H915" s="533" t="n"/>
    </row>
    <row r="916" ht="24" customHeight="1">
      <c r="A916" s="539" t="n"/>
      <c r="B916" s="533" t="n"/>
      <c r="C916" s="533" t="n"/>
      <c r="D916" s="575" t="n"/>
      <c r="E916" s="571" t="n"/>
      <c r="F916" s="571" t="n"/>
      <c r="G916" s="533" t="n"/>
      <c r="H916" s="533" t="n"/>
    </row>
    <row r="917" ht="24" customHeight="1">
      <c r="A917" s="539" t="n"/>
      <c r="B917" s="533" t="n"/>
      <c r="C917" s="533" t="n"/>
      <c r="D917" s="575" t="n"/>
      <c r="E917" s="571" t="n"/>
      <c r="F917" s="571" t="n"/>
      <c r="G917" s="533" t="n"/>
      <c r="H917" s="533" t="n"/>
    </row>
    <row r="918" ht="24" customHeight="1">
      <c r="A918" s="539" t="n"/>
      <c r="B918" s="533" t="n"/>
      <c r="C918" s="533" t="n"/>
      <c r="D918" s="575" t="n"/>
      <c r="E918" s="571" t="n"/>
      <c r="F918" s="571" t="n"/>
      <c r="G918" s="533" t="n"/>
      <c r="H918" s="533" t="n"/>
    </row>
    <row r="919" ht="24" customHeight="1">
      <c r="A919" s="539" t="n"/>
      <c r="B919" s="533" t="n"/>
      <c r="C919" s="533" t="n"/>
      <c r="D919" s="575" t="n"/>
      <c r="E919" s="571" t="n"/>
      <c r="F919" s="571" t="n"/>
      <c r="G919" s="533" t="n"/>
      <c r="H919" s="533" t="n"/>
    </row>
    <row r="920" ht="24" customHeight="1">
      <c r="A920" s="539" t="n"/>
      <c r="B920" s="533" t="n"/>
      <c r="C920" s="533" t="n"/>
      <c r="D920" s="575" t="n"/>
      <c r="E920" s="571" t="n"/>
      <c r="F920" s="571" t="n"/>
      <c r="G920" s="533" t="n"/>
      <c r="H920" s="533" t="n"/>
    </row>
    <row r="921" ht="24" customHeight="1">
      <c r="A921" s="539" t="n"/>
      <c r="B921" s="533" t="n"/>
      <c r="C921" s="533" t="n"/>
      <c r="D921" s="575" t="n"/>
      <c r="E921" s="571" t="n"/>
      <c r="F921" s="571" t="n"/>
      <c r="G921" s="533" t="n"/>
      <c r="H921" s="533" t="n"/>
    </row>
    <row r="922" ht="24" customHeight="1">
      <c r="A922" s="539" t="n"/>
      <c r="B922" s="533" t="n"/>
      <c r="C922" s="533" t="n"/>
      <c r="D922" s="575" t="n"/>
      <c r="E922" s="571" t="n"/>
      <c r="F922" s="571" t="n"/>
      <c r="G922" s="533" t="n"/>
      <c r="H922" s="533" t="n"/>
    </row>
    <row r="923" ht="24" customHeight="1">
      <c r="A923" s="539" t="n"/>
      <c r="B923" s="533" t="n"/>
      <c r="C923" s="533" t="n"/>
      <c r="D923" s="575" t="n"/>
      <c r="E923" s="571" t="n"/>
      <c r="F923" s="571" t="n"/>
      <c r="G923" s="533" t="n"/>
      <c r="H923" s="533" t="n"/>
    </row>
    <row r="924" ht="24" customHeight="1">
      <c r="A924" s="539" t="n"/>
      <c r="B924" s="533" t="n"/>
      <c r="C924" s="533" t="n"/>
      <c r="D924" s="575" t="n"/>
      <c r="E924" s="571" t="n"/>
      <c r="F924" s="571" t="n"/>
      <c r="G924" s="533" t="n"/>
      <c r="H924" s="533" t="n"/>
    </row>
    <row r="925" ht="24" customHeight="1">
      <c r="A925" s="539" t="n"/>
      <c r="B925" s="533" t="n"/>
      <c r="C925" s="533" t="n"/>
      <c r="D925" s="575" t="n"/>
      <c r="E925" s="571" t="n"/>
      <c r="F925" s="571" t="n"/>
      <c r="G925" s="533" t="n"/>
      <c r="H925" s="533" t="n"/>
    </row>
    <row r="926" ht="24" customHeight="1">
      <c r="A926" s="539" t="n"/>
      <c r="B926" s="533" t="n"/>
      <c r="C926" s="533" t="n"/>
      <c r="D926" s="575" t="n"/>
      <c r="E926" s="571" t="n"/>
      <c r="F926" s="571" t="n"/>
      <c r="G926" s="533" t="n"/>
      <c r="H926" s="533" t="n"/>
    </row>
    <row r="927" ht="24" customHeight="1">
      <c r="A927" s="539" t="n"/>
      <c r="B927" s="533" t="n"/>
      <c r="C927" s="533" t="n"/>
      <c r="D927" s="575" t="n"/>
      <c r="E927" s="571" t="n"/>
      <c r="F927" s="571" t="n"/>
      <c r="G927" s="533" t="n"/>
      <c r="H927" s="533" t="n"/>
    </row>
    <row r="928" ht="24" customHeight="1">
      <c r="A928" s="539" t="n"/>
      <c r="B928" s="533" t="n"/>
      <c r="C928" s="533" t="n"/>
      <c r="D928" s="575" t="n"/>
      <c r="E928" s="571" t="n"/>
      <c r="F928" s="571" t="n"/>
      <c r="G928" s="533" t="n"/>
      <c r="H928" s="533" t="n"/>
    </row>
    <row r="929" ht="24" customHeight="1">
      <c r="A929" s="539" t="n"/>
      <c r="B929" s="533" t="n"/>
      <c r="C929" s="533" t="n"/>
      <c r="D929" s="575" t="n"/>
      <c r="E929" s="571" t="n"/>
      <c r="F929" s="571" t="n"/>
      <c r="G929" s="533" t="n"/>
      <c r="H929" s="533" t="n"/>
    </row>
    <row r="930" ht="24" customHeight="1">
      <c r="A930" s="539" t="n"/>
      <c r="B930" s="533" t="n"/>
      <c r="C930" s="533" t="n"/>
      <c r="D930" s="575" t="n"/>
      <c r="E930" s="571" t="n"/>
      <c r="F930" s="571" t="n"/>
      <c r="G930" s="533" t="n"/>
      <c r="H930" s="533" t="n"/>
    </row>
    <row r="931" ht="24" customHeight="1">
      <c r="A931" s="539" t="n"/>
      <c r="B931" s="533" t="n"/>
      <c r="C931" s="533" t="n"/>
      <c r="D931" s="575" t="n"/>
      <c r="E931" s="571" t="n"/>
      <c r="F931" s="571" t="n"/>
      <c r="G931" s="533" t="n"/>
      <c r="H931" s="533" t="n"/>
    </row>
    <row r="932" ht="24" customHeight="1">
      <c r="A932" s="539" t="n"/>
      <c r="B932" s="533" t="n"/>
      <c r="C932" s="533" t="n"/>
      <c r="D932" s="575" t="n"/>
      <c r="E932" s="571" t="n"/>
      <c r="F932" s="571" t="n"/>
      <c r="G932" s="533" t="n"/>
      <c r="H932" s="533" t="n"/>
    </row>
    <row r="933" ht="24" customHeight="1">
      <c r="A933" s="539" t="n"/>
      <c r="B933" s="533" t="n"/>
      <c r="C933" s="533" t="n"/>
      <c r="D933" s="575" t="n"/>
      <c r="E933" s="571" t="n"/>
      <c r="F933" s="571" t="n"/>
      <c r="G933" s="533" t="n"/>
      <c r="H933" s="533" t="n"/>
    </row>
    <row r="934" ht="24" customHeight="1">
      <c r="A934" s="539" t="n"/>
      <c r="B934" s="533" t="n"/>
      <c r="C934" s="533" t="n"/>
      <c r="D934" s="575" t="n"/>
      <c r="E934" s="571" t="n"/>
      <c r="F934" s="571" t="n"/>
      <c r="G934" s="533" t="n"/>
      <c r="H934" s="533" t="n"/>
    </row>
    <row r="935" ht="24" customHeight="1">
      <c r="A935" s="539" t="n"/>
      <c r="B935" s="533" t="n"/>
      <c r="C935" s="533" t="n"/>
      <c r="D935" s="575" t="n"/>
      <c r="E935" s="571" t="n"/>
      <c r="F935" s="571" t="n"/>
      <c r="G935" s="533" t="n"/>
      <c r="H935" s="533" t="n"/>
    </row>
    <row r="936" ht="24" customHeight="1">
      <c r="A936" s="539" t="n"/>
      <c r="B936" s="533" t="n"/>
      <c r="C936" s="533" t="n"/>
      <c r="D936" s="575" t="n"/>
      <c r="E936" s="571" t="n"/>
      <c r="F936" s="571" t="n"/>
      <c r="G936" s="533" t="n"/>
      <c r="H936" s="533" t="n"/>
    </row>
    <row r="937" ht="24" customHeight="1">
      <c r="A937" s="539" t="n"/>
      <c r="B937" s="533" t="n"/>
      <c r="C937" s="533" t="n"/>
      <c r="D937" s="575" t="n"/>
      <c r="E937" s="571" t="n"/>
      <c r="F937" s="571" t="n"/>
      <c r="G937" s="533" t="n"/>
      <c r="H937" s="533" t="n"/>
    </row>
    <row r="938" ht="24" customHeight="1">
      <c r="A938" s="539" t="n"/>
      <c r="B938" s="533" t="n"/>
      <c r="C938" s="533" t="n"/>
      <c r="D938" s="575" t="n"/>
      <c r="E938" s="571" t="n"/>
      <c r="F938" s="571" t="n"/>
      <c r="G938" s="533" t="n"/>
      <c r="H938" s="533" t="n"/>
    </row>
    <row r="939" ht="24" customHeight="1">
      <c r="A939" s="539" t="n"/>
      <c r="B939" s="533" t="n"/>
      <c r="C939" s="533" t="n"/>
      <c r="D939" s="575" t="n"/>
      <c r="E939" s="571" t="n"/>
      <c r="F939" s="571" t="n"/>
      <c r="G939" s="533" t="n"/>
      <c r="H939" s="533" t="n"/>
    </row>
    <row r="940" ht="24" customHeight="1">
      <c r="A940" s="539" t="n"/>
      <c r="B940" s="533" t="n"/>
      <c r="C940" s="533" t="n"/>
      <c r="D940" s="575" t="n"/>
      <c r="E940" s="571" t="n"/>
      <c r="F940" s="571" t="n"/>
      <c r="G940" s="533" t="n"/>
      <c r="H940" s="533" t="n"/>
    </row>
    <row r="941" ht="24" customHeight="1">
      <c r="A941" s="539" t="n"/>
      <c r="B941" s="533" t="n"/>
      <c r="C941" s="533" t="n"/>
      <c r="D941" s="575" t="n"/>
      <c r="E941" s="571" t="n"/>
      <c r="F941" s="571" t="n"/>
      <c r="G941" s="533" t="n"/>
      <c r="H941" s="533" t="n"/>
    </row>
    <row r="942" ht="24" customHeight="1">
      <c r="A942" s="539" t="n"/>
      <c r="B942" s="533" t="n"/>
      <c r="C942" s="533" t="n"/>
      <c r="D942" s="575" t="n"/>
      <c r="E942" s="571" t="n"/>
      <c r="F942" s="571" t="n"/>
      <c r="G942" s="533" t="n"/>
      <c r="H942" s="533" t="n"/>
    </row>
    <row r="943" ht="24" customHeight="1">
      <c r="A943" s="539" t="n"/>
      <c r="B943" s="533" t="n"/>
      <c r="C943" s="533" t="n"/>
      <c r="D943" s="575" t="n"/>
      <c r="E943" s="571" t="n"/>
      <c r="F943" s="571" t="n"/>
      <c r="G943" s="533" t="n"/>
      <c r="H943" s="533" t="n"/>
    </row>
    <row r="944" ht="24" customHeight="1">
      <c r="A944" s="539" t="n"/>
      <c r="B944" s="533" t="n"/>
      <c r="C944" s="533" t="n"/>
      <c r="D944" s="575" t="n"/>
      <c r="E944" s="571" t="n"/>
      <c r="F944" s="571" t="n"/>
      <c r="G944" s="533" t="n"/>
      <c r="H944" s="533" t="n"/>
    </row>
    <row r="945" ht="24" customHeight="1">
      <c r="A945" s="539" t="n"/>
      <c r="B945" s="533" t="n"/>
      <c r="C945" s="533" t="n"/>
      <c r="D945" s="575" t="n"/>
      <c r="E945" s="571" t="n"/>
      <c r="F945" s="571" t="n"/>
      <c r="G945" s="533" t="n"/>
      <c r="H945" s="533" t="n"/>
    </row>
    <row r="946" ht="24" customHeight="1">
      <c r="A946" s="539" t="n"/>
      <c r="B946" s="533" t="n"/>
      <c r="C946" s="533" t="n"/>
      <c r="D946" s="575" t="n"/>
      <c r="E946" s="571" t="n"/>
      <c r="F946" s="571" t="n"/>
      <c r="G946" s="533" t="n"/>
      <c r="H946" s="533" t="n"/>
    </row>
    <row r="947" ht="24" customHeight="1">
      <c r="A947" s="539" t="n"/>
      <c r="B947" s="533" t="n"/>
      <c r="C947" s="533" t="n"/>
      <c r="D947" s="575" t="n"/>
      <c r="E947" s="571" t="n"/>
      <c r="F947" s="571" t="n"/>
      <c r="G947" s="533" t="n"/>
      <c r="H947" s="533" t="n"/>
    </row>
    <row r="948" ht="24" customHeight="1">
      <c r="A948" s="539" t="n"/>
      <c r="B948" s="533" t="n"/>
      <c r="C948" s="533" t="n"/>
      <c r="D948" s="575" t="n"/>
      <c r="E948" s="571" t="n"/>
      <c r="F948" s="571" t="n"/>
      <c r="G948" s="533" t="n"/>
      <c r="H948" s="533" t="n"/>
    </row>
    <row r="949" ht="24" customHeight="1">
      <c r="A949" s="539" t="n"/>
      <c r="B949" s="533" t="n"/>
      <c r="C949" s="533" t="n"/>
      <c r="D949" s="575" t="n"/>
      <c r="E949" s="571" t="n"/>
      <c r="F949" s="571" t="n"/>
      <c r="G949" s="533" t="n"/>
      <c r="H949" s="533" t="n"/>
    </row>
    <row r="950" ht="24" customHeight="1">
      <c r="A950" s="539" t="n"/>
      <c r="B950" s="533" t="n"/>
      <c r="C950" s="533" t="n"/>
      <c r="D950" s="575" t="n"/>
      <c r="E950" s="571" t="n"/>
      <c r="F950" s="571" t="n"/>
      <c r="G950" s="533" t="n"/>
      <c r="H950" s="533" t="n"/>
    </row>
    <row r="951" ht="24" customHeight="1">
      <c r="A951" s="539" t="n"/>
      <c r="B951" s="533" t="n"/>
      <c r="C951" s="533" t="n"/>
      <c r="D951" s="575" t="n"/>
      <c r="E951" s="571" t="n"/>
      <c r="F951" s="571" t="n"/>
      <c r="G951" s="533" t="n"/>
      <c r="H951" s="533" t="n"/>
    </row>
    <row r="952" ht="24" customHeight="1">
      <c r="A952" s="539" t="n"/>
      <c r="B952" s="533" t="n"/>
      <c r="C952" s="533" t="n"/>
      <c r="D952" s="575" t="n"/>
      <c r="E952" s="571" t="n"/>
      <c r="F952" s="571" t="n"/>
      <c r="G952" s="533" t="n"/>
      <c r="H952" s="533" t="n"/>
    </row>
    <row r="953" ht="24" customHeight="1">
      <c r="A953" s="539" t="n"/>
      <c r="B953" s="533" t="n"/>
      <c r="C953" s="533" t="n"/>
      <c r="D953" s="575" t="n"/>
      <c r="E953" s="571" t="n"/>
      <c r="F953" s="571" t="n"/>
      <c r="G953" s="533" t="n"/>
      <c r="H953" s="533" t="n"/>
    </row>
    <row r="954" ht="24" customHeight="1">
      <c r="A954" s="539" t="n"/>
      <c r="B954" s="533" t="n"/>
      <c r="C954" s="533" t="n"/>
      <c r="D954" s="575" t="n"/>
      <c r="E954" s="571" t="n"/>
      <c r="F954" s="571" t="n"/>
      <c r="G954" s="533" t="n"/>
      <c r="H954" s="533" t="n"/>
    </row>
    <row r="955" ht="24" customHeight="1">
      <c r="A955" s="539" t="n"/>
      <c r="B955" s="533" t="n"/>
      <c r="C955" s="533" t="n"/>
      <c r="D955" s="575" t="n"/>
      <c r="E955" s="571" t="n"/>
      <c r="F955" s="571" t="n"/>
      <c r="G955" s="533" t="n"/>
      <c r="H955" s="533" t="n"/>
    </row>
    <row r="956" ht="24" customHeight="1">
      <c r="A956" s="539" t="n"/>
      <c r="B956" s="533" t="n"/>
      <c r="C956" s="533" t="n"/>
      <c r="D956" s="575" t="n"/>
      <c r="E956" s="571" t="n"/>
      <c r="F956" s="571" t="n"/>
      <c r="G956" s="533" t="n"/>
      <c r="H956" s="533" t="n"/>
    </row>
    <row r="957" ht="24" customHeight="1">
      <c r="A957" s="539" t="n"/>
      <c r="B957" s="533" t="n"/>
      <c r="C957" s="533" t="n"/>
      <c r="D957" s="575" t="n"/>
      <c r="E957" s="571" t="n"/>
      <c r="F957" s="571" t="n"/>
      <c r="G957" s="533" t="n"/>
      <c r="H957" s="533" t="n"/>
    </row>
    <row r="958" ht="24" customHeight="1">
      <c r="A958" s="539" t="n"/>
      <c r="B958" s="533" t="n"/>
      <c r="C958" s="533" t="n"/>
      <c r="D958" s="575" t="n"/>
      <c r="E958" s="571" t="n"/>
      <c r="F958" s="571" t="n"/>
      <c r="G958" s="533" t="n"/>
      <c r="H958" s="533" t="n"/>
    </row>
    <row r="959" ht="24" customHeight="1">
      <c r="A959" s="539" t="n"/>
      <c r="B959" s="533" t="n"/>
      <c r="C959" s="533" t="n"/>
      <c r="D959" s="575" t="n"/>
      <c r="E959" s="571" t="n"/>
      <c r="F959" s="571" t="n"/>
      <c r="G959" s="533" t="n"/>
      <c r="H959" s="533" t="n"/>
    </row>
    <row r="960" ht="24" customHeight="1">
      <c r="A960" s="539" t="n"/>
      <c r="B960" s="533" t="n"/>
      <c r="C960" s="533" t="n"/>
      <c r="D960" s="575" t="n"/>
      <c r="E960" s="571" t="n"/>
      <c r="F960" s="571" t="n"/>
      <c r="G960" s="533" t="n"/>
      <c r="H960" s="533" t="n"/>
    </row>
    <row r="961" ht="24" customHeight="1">
      <c r="A961" s="539" t="n"/>
      <c r="B961" s="533" t="n"/>
      <c r="C961" s="533" t="n"/>
      <c r="D961" s="575" t="n"/>
      <c r="E961" s="571" t="n"/>
      <c r="F961" s="571" t="n"/>
      <c r="G961" s="533" t="n"/>
      <c r="H961" s="533" t="n"/>
    </row>
    <row r="962" ht="24" customHeight="1">
      <c r="A962" s="539" t="n"/>
      <c r="B962" s="533" t="n"/>
      <c r="C962" s="533" t="n"/>
      <c r="D962" s="575" t="n"/>
      <c r="E962" s="571" t="n"/>
      <c r="F962" s="571" t="n"/>
      <c r="G962" s="533" t="n"/>
      <c r="H962" s="533" t="n"/>
    </row>
    <row r="963" ht="24" customHeight="1">
      <c r="A963" s="539" t="n"/>
      <c r="B963" s="533" t="n"/>
      <c r="C963" s="533" t="n"/>
      <c r="D963" s="575" t="n"/>
      <c r="E963" s="571" t="n"/>
      <c r="F963" s="571" t="n"/>
      <c r="G963" s="533" t="n"/>
      <c r="H963" s="533" t="n"/>
    </row>
    <row r="964" ht="24" customHeight="1">
      <c r="A964" s="539" t="n"/>
      <c r="B964" s="533" t="n"/>
      <c r="C964" s="533" t="n"/>
      <c r="D964" s="575" t="n"/>
      <c r="E964" s="571" t="n"/>
      <c r="F964" s="571" t="n"/>
      <c r="G964" s="533" t="n"/>
      <c r="H964" s="533" t="n"/>
    </row>
    <row r="965" ht="24" customHeight="1">
      <c r="A965" s="539" t="n"/>
      <c r="B965" s="533" t="n"/>
      <c r="C965" s="533" t="n"/>
      <c r="D965" s="575" t="n"/>
      <c r="E965" s="571" t="n"/>
      <c r="F965" s="571" t="n"/>
      <c r="G965" s="533" t="n"/>
      <c r="H965" s="533" t="n"/>
    </row>
    <row r="966" ht="24" customHeight="1">
      <c r="A966" s="539" t="n"/>
      <c r="B966" s="533" t="n"/>
      <c r="C966" s="533" t="n"/>
      <c r="D966" s="575" t="n"/>
      <c r="E966" s="571" t="n"/>
      <c r="F966" s="571" t="n"/>
      <c r="G966" s="533" t="n"/>
      <c r="H966" s="533" t="n"/>
    </row>
    <row r="967" ht="24" customHeight="1">
      <c r="A967" s="539" t="n"/>
      <c r="B967" s="533" t="n"/>
      <c r="C967" s="533" t="n"/>
      <c r="D967" s="575" t="n"/>
      <c r="E967" s="571" t="n"/>
      <c r="F967" s="571" t="n"/>
      <c r="G967" s="533" t="n"/>
      <c r="H967" s="533" t="n"/>
    </row>
    <row r="968" ht="24" customHeight="1">
      <c r="A968" s="539" t="n"/>
      <c r="B968" s="533" t="n"/>
      <c r="C968" s="533" t="n"/>
      <c r="D968" s="575" t="n"/>
      <c r="E968" s="571" t="n"/>
      <c r="F968" s="571" t="n"/>
      <c r="G968" s="533" t="n"/>
      <c r="H968" s="533" t="n"/>
    </row>
    <row r="969" ht="24" customHeight="1">
      <c r="A969" s="539" t="n"/>
      <c r="B969" s="533" t="n"/>
      <c r="C969" s="533" t="n"/>
      <c r="D969" s="575" t="n"/>
      <c r="E969" s="571" t="n"/>
      <c r="F969" s="571" t="n"/>
      <c r="G969" s="533" t="n"/>
      <c r="H969" s="533" t="n"/>
    </row>
    <row r="970" ht="24" customHeight="1">
      <c r="A970" s="539" t="n"/>
      <c r="B970" s="533" t="n"/>
      <c r="C970" s="533" t="n"/>
      <c r="D970" s="575" t="n"/>
      <c r="E970" s="571" t="n"/>
      <c r="F970" s="571" t="n"/>
      <c r="G970" s="533" t="n"/>
      <c r="H970" s="533" t="n"/>
    </row>
    <row r="971" ht="24" customHeight="1">
      <c r="A971" s="539" t="n"/>
      <c r="B971" s="533" t="n"/>
      <c r="C971" s="533" t="n"/>
      <c r="D971" s="575" t="n"/>
      <c r="E971" s="571" t="n"/>
      <c r="F971" s="571" t="n"/>
      <c r="G971" s="533" t="n"/>
      <c r="H971" s="533" t="n"/>
    </row>
    <row r="972" ht="24" customHeight="1">
      <c r="A972" s="539" t="n"/>
      <c r="B972" s="533" t="n"/>
      <c r="C972" s="533" t="n"/>
      <c r="D972" s="575" t="n"/>
      <c r="E972" s="571" t="n"/>
      <c r="F972" s="571" t="n"/>
      <c r="G972" s="533" t="n"/>
      <c r="H972" s="533" t="n"/>
    </row>
    <row r="973" ht="24" customHeight="1">
      <c r="A973" s="539" t="n"/>
      <c r="B973" s="533" t="n"/>
      <c r="C973" s="533" t="n"/>
      <c r="D973" s="575" t="n"/>
      <c r="E973" s="571" t="n"/>
      <c r="F973" s="571" t="n"/>
      <c r="G973" s="533" t="n"/>
      <c r="H973" s="533" t="n"/>
    </row>
    <row r="974" ht="24" customHeight="1">
      <c r="A974" s="539" t="n"/>
      <c r="B974" s="533" t="n"/>
      <c r="C974" s="533" t="n"/>
      <c r="D974" s="575" t="n"/>
      <c r="E974" s="571" t="n"/>
      <c r="F974" s="571" t="n"/>
      <c r="G974" s="533" t="n"/>
      <c r="H974" s="533" t="n"/>
    </row>
    <row r="975" ht="24" customHeight="1">
      <c r="A975" s="539" t="n"/>
      <c r="B975" s="533" t="n"/>
      <c r="C975" s="533" t="n"/>
      <c r="D975" s="575" t="n"/>
      <c r="E975" s="571" t="n"/>
      <c r="F975" s="571" t="n"/>
      <c r="G975" s="533" t="n"/>
      <c r="H975" s="533" t="n"/>
    </row>
    <row r="976" ht="24" customHeight="1">
      <c r="A976" s="539" t="n"/>
      <c r="B976" s="533" t="n"/>
      <c r="C976" s="533" t="n"/>
      <c r="D976" s="575" t="n"/>
      <c r="E976" s="571" t="n"/>
      <c r="F976" s="571" t="n"/>
      <c r="G976" s="533" t="n"/>
      <c r="H976" s="533" t="n"/>
    </row>
    <row r="977" ht="24" customHeight="1">
      <c r="A977" s="539" t="n"/>
      <c r="B977" s="533" t="n"/>
      <c r="C977" s="533" t="n"/>
      <c r="D977" s="575" t="n"/>
      <c r="E977" s="571" t="n"/>
      <c r="F977" s="571" t="n"/>
      <c r="G977" s="533" t="n"/>
      <c r="H977" s="533" t="n"/>
    </row>
    <row r="978" ht="24" customHeight="1">
      <c r="A978" s="539" t="n"/>
      <c r="B978" s="533" t="n"/>
      <c r="C978" s="533" t="n"/>
      <c r="D978" s="575" t="n"/>
      <c r="E978" s="571" t="n"/>
      <c r="F978" s="571" t="n"/>
      <c r="G978" s="533" t="n"/>
      <c r="H978" s="533" t="n"/>
    </row>
    <row r="979" ht="24" customHeight="1">
      <c r="A979" s="539" t="n"/>
      <c r="B979" s="533" t="n"/>
      <c r="C979" s="533" t="n"/>
      <c r="D979" s="575" t="n"/>
      <c r="E979" s="571" t="n"/>
      <c r="F979" s="571" t="n"/>
      <c r="G979" s="533" t="n"/>
      <c r="H979" s="533" t="n"/>
    </row>
    <row r="980" ht="24" customHeight="1">
      <c r="A980" s="539" t="n"/>
      <c r="B980" s="533" t="n"/>
      <c r="C980" s="533" t="n"/>
      <c r="D980" s="575" t="n"/>
      <c r="E980" s="571" t="n"/>
      <c r="F980" s="571" t="n"/>
      <c r="G980" s="533" t="n"/>
      <c r="H980" s="533" t="n"/>
    </row>
    <row r="981" ht="24" customHeight="1">
      <c r="A981" s="539" t="n"/>
      <c r="B981" s="533" t="n"/>
      <c r="C981" s="533" t="n"/>
      <c r="D981" s="575" t="n"/>
      <c r="E981" s="571" t="n"/>
      <c r="F981" s="571" t="n"/>
      <c r="G981" s="533" t="n"/>
      <c r="H981" s="533" t="n"/>
    </row>
    <row r="982" ht="24" customHeight="1">
      <c r="A982" s="539" t="n"/>
      <c r="B982" s="533" t="n"/>
      <c r="C982" s="533" t="n"/>
      <c r="D982" s="575" t="n"/>
      <c r="E982" s="571" t="n"/>
      <c r="F982" s="571" t="n"/>
      <c r="G982" s="533" t="n"/>
      <c r="H982" s="533" t="n"/>
    </row>
    <row r="983" ht="24" customHeight="1">
      <c r="A983" s="539" t="n"/>
      <c r="B983" s="533" t="n"/>
      <c r="C983" s="533" t="n"/>
      <c r="D983" s="575" t="n"/>
      <c r="E983" s="571" t="n"/>
      <c r="F983" s="571" t="n"/>
      <c r="G983" s="533" t="n"/>
      <c r="H983" s="533" t="n"/>
    </row>
    <row r="984" ht="24" customHeight="1">
      <c r="A984" s="539" t="n"/>
      <c r="B984" s="533" t="n"/>
      <c r="C984" s="533" t="n"/>
      <c r="D984" s="575" t="n"/>
      <c r="E984" s="571" t="n"/>
      <c r="F984" s="571" t="n"/>
      <c r="G984" s="533" t="n"/>
      <c r="H984" s="533" t="n"/>
    </row>
    <row r="985" ht="24" customHeight="1">
      <c r="A985" s="539" t="n"/>
      <c r="B985" s="533" t="n"/>
      <c r="C985" s="533" t="n"/>
      <c r="D985" s="575" t="n"/>
      <c r="E985" s="571" t="n"/>
      <c r="F985" s="571" t="n"/>
      <c r="G985" s="533" t="n"/>
      <c r="H985" s="533" t="n"/>
    </row>
    <row r="986" ht="24" customHeight="1">
      <c r="A986" s="539" t="n"/>
      <c r="B986" s="533" t="n"/>
      <c r="C986" s="533" t="n"/>
      <c r="D986" s="575" t="n"/>
      <c r="E986" s="571" t="n"/>
      <c r="F986" s="571" t="n"/>
      <c r="G986" s="533" t="n"/>
      <c r="H986" s="533" t="n"/>
    </row>
    <row r="987" ht="24" customHeight="1">
      <c r="A987" s="539" t="n"/>
      <c r="B987" s="533" t="n"/>
      <c r="C987" s="533" t="n"/>
      <c r="D987" s="575" t="n"/>
      <c r="E987" s="571" t="n"/>
      <c r="F987" s="571" t="n"/>
      <c r="G987" s="533" t="n"/>
      <c r="H987" s="533" t="n"/>
    </row>
    <row r="988" ht="24" customHeight="1">
      <c r="A988" s="539" t="n"/>
      <c r="B988" s="533" t="n"/>
      <c r="C988" s="533" t="n"/>
      <c r="D988" s="575" t="n"/>
      <c r="E988" s="571" t="n"/>
      <c r="F988" s="571" t="n"/>
      <c r="G988" s="533" t="n"/>
      <c r="H988" s="533" t="n"/>
    </row>
    <row r="989" ht="24" customHeight="1">
      <c r="A989" s="539" t="n"/>
      <c r="B989" s="533" t="n"/>
      <c r="C989" s="533" t="n"/>
      <c r="D989" s="575" t="n"/>
      <c r="E989" s="571" t="n"/>
      <c r="F989" s="571" t="n"/>
      <c r="G989" s="533" t="n"/>
      <c r="H989" s="533" t="n"/>
    </row>
    <row r="990" ht="24" customHeight="1">
      <c r="A990" s="539" t="n"/>
      <c r="B990" s="533" t="n"/>
      <c r="C990" s="533" t="n"/>
      <c r="D990" s="575" t="n"/>
      <c r="E990" s="571" t="n"/>
      <c r="F990" s="571" t="n"/>
      <c r="G990" s="533" t="n"/>
      <c r="H990" s="533" t="n"/>
    </row>
    <row r="991" ht="24" customHeight="1">
      <c r="A991" s="539" t="n"/>
      <c r="B991" s="533" t="n"/>
      <c r="C991" s="533" t="n"/>
      <c r="D991" s="575" t="n"/>
      <c r="E991" s="571" t="n"/>
      <c r="F991" s="571" t="n"/>
      <c r="G991" s="533" t="n"/>
      <c r="H991" s="533" t="n"/>
    </row>
    <row r="992" ht="24" customHeight="1">
      <c r="A992" s="539" t="n"/>
      <c r="B992" s="533" t="n"/>
      <c r="C992" s="533" t="n"/>
      <c r="D992" s="575" t="n"/>
      <c r="E992" s="571" t="n"/>
      <c r="F992" s="571" t="n"/>
      <c r="G992" s="533" t="n"/>
      <c r="H992" s="533" t="n"/>
    </row>
    <row r="993" ht="24" customHeight="1">
      <c r="A993" s="539" t="n"/>
      <c r="B993" s="533" t="n"/>
      <c r="C993" s="533" t="n"/>
      <c r="D993" s="575" t="n"/>
      <c r="E993" s="571" t="n"/>
      <c r="F993" s="571" t="n"/>
      <c r="G993" s="533" t="n"/>
      <c r="H993" s="533" t="n"/>
    </row>
    <row r="994" ht="24" customHeight="1">
      <c r="A994" s="539" t="n"/>
      <c r="B994" s="533" t="n"/>
      <c r="C994" s="533" t="n"/>
      <c r="D994" s="575" t="n"/>
      <c r="E994" s="571" t="n"/>
      <c r="F994" s="571" t="n"/>
      <c r="G994" s="533" t="n"/>
      <c r="H994" s="533" t="n"/>
    </row>
    <row r="995" ht="24" customHeight="1">
      <c r="A995" s="539" t="n"/>
      <c r="B995" s="533" t="n"/>
      <c r="C995" s="533" t="n"/>
      <c r="D995" s="575" t="n"/>
      <c r="E995" s="571" t="n"/>
      <c r="F995" s="571" t="n"/>
      <c r="G995" s="533" t="n"/>
      <c r="H995" s="533" t="n"/>
    </row>
    <row r="996" ht="24" customHeight="1">
      <c r="A996" s="539" t="n"/>
      <c r="B996" s="533" t="n"/>
      <c r="C996" s="533" t="n"/>
      <c r="D996" s="575" t="n"/>
      <c r="E996" s="571" t="n"/>
      <c r="F996" s="571" t="n"/>
      <c r="G996" s="533" t="n"/>
      <c r="H996" s="533" t="n"/>
    </row>
    <row r="997" ht="24" customHeight="1">
      <c r="A997" s="539" t="n"/>
      <c r="B997" s="533" t="n"/>
      <c r="C997" s="533" t="n"/>
      <c r="D997" s="575" t="n"/>
      <c r="E997" s="571" t="n"/>
      <c r="F997" s="571" t="n"/>
      <c r="G997" s="533" t="n"/>
      <c r="H997" s="533" t="n"/>
    </row>
    <row r="998" ht="24" customHeight="1">
      <c r="A998" s="539" t="n"/>
      <c r="B998" s="533" t="n"/>
      <c r="C998" s="533" t="n"/>
      <c r="D998" s="575" t="n"/>
      <c r="E998" s="571" t="n"/>
      <c r="F998" s="571" t="n"/>
      <c r="G998" s="533" t="n"/>
      <c r="H998" s="533" t="n"/>
    </row>
    <row r="999" ht="24" customHeight="1">
      <c r="A999" s="539" t="n"/>
      <c r="B999" s="533" t="n"/>
      <c r="C999" s="533" t="n"/>
      <c r="D999" s="575" t="n"/>
      <c r="E999" s="571" t="n"/>
      <c r="F999" s="571" t="n"/>
      <c r="G999" s="533" t="n"/>
      <c r="H999" s="533" t="n"/>
    </row>
    <row r="1000" ht="24" customHeight="1">
      <c r="A1000" s="539" t="n"/>
      <c r="B1000" s="533" t="n"/>
      <c r="C1000" s="533" t="n"/>
      <c r="D1000" s="575" t="n"/>
      <c r="E1000" s="571" t="n"/>
      <c r="F1000" s="571" t="n"/>
      <c r="G1000" s="533" t="n"/>
      <c r="H1000" s="533" t="n"/>
    </row>
    <row r="1001" ht="24" customHeight="1">
      <c r="A1001" s="539" t="n"/>
      <c r="B1001" s="533" t="n"/>
      <c r="C1001" s="533" t="n"/>
      <c r="D1001" s="575" t="n"/>
      <c r="E1001" s="571" t="n"/>
      <c r="F1001" s="571" t="n"/>
      <c r="G1001" s="533" t="n"/>
      <c r="H1001" s="533" t="n"/>
    </row>
    <row r="1002" ht="24" customHeight="1">
      <c r="A1002" s="539" t="n"/>
      <c r="B1002" s="533" t="n"/>
      <c r="C1002" s="533" t="n"/>
      <c r="D1002" s="575" t="n"/>
      <c r="E1002" s="571" t="n"/>
      <c r="F1002" s="571" t="n"/>
      <c r="G1002" s="533" t="n"/>
      <c r="H1002" s="533" t="n"/>
    </row>
    <row r="1003" ht="24" customHeight="1">
      <c r="A1003" s="539" t="n"/>
      <c r="B1003" s="533" t="n"/>
      <c r="C1003" s="533" t="n"/>
      <c r="D1003" s="575" t="n"/>
      <c r="E1003" s="571" t="n"/>
      <c r="F1003" s="571" t="n"/>
      <c r="G1003" s="533" t="n"/>
      <c r="H1003" s="533" t="n"/>
    </row>
    <row r="1004" ht="24" customHeight="1">
      <c r="A1004" s="539" t="n"/>
      <c r="B1004" s="533" t="n"/>
      <c r="C1004" s="533" t="n"/>
      <c r="D1004" s="575" t="n"/>
      <c r="E1004" s="571" t="n"/>
      <c r="F1004" s="571" t="n"/>
      <c r="G1004" s="533" t="n"/>
      <c r="H1004" s="533" t="n"/>
    </row>
    <row r="1005" ht="24" customHeight="1">
      <c r="A1005" s="539" t="n"/>
      <c r="B1005" s="533" t="n"/>
      <c r="C1005" s="533" t="n"/>
      <c r="D1005" s="575" t="n"/>
      <c r="E1005" s="571" t="n"/>
      <c r="F1005" s="571" t="n"/>
      <c r="G1005" s="533" t="n"/>
      <c r="H1005" s="533" t="n"/>
    </row>
    <row r="1006" ht="24" customHeight="1">
      <c r="A1006" s="539" t="n"/>
      <c r="B1006" s="533" t="n"/>
      <c r="C1006" s="533" t="n"/>
      <c r="D1006" s="575" t="n"/>
      <c r="E1006" s="571" t="n"/>
      <c r="F1006" s="571" t="n"/>
      <c r="G1006" s="533" t="n"/>
      <c r="H1006" s="533" t="n"/>
    </row>
    <row r="1007" ht="24" customHeight="1">
      <c r="A1007" s="539" t="n"/>
      <c r="B1007" s="533" t="n"/>
      <c r="C1007" s="533" t="n"/>
      <c r="D1007" s="575" t="n"/>
      <c r="E1007" s="571" t="n"/>
      <c r="F1007" s="571" t="n"/>
      <c r="G1007" s="533" t="n"/>
      <c r="H1007" s="533" t="n"/>
    </row>
    <row r="1008" ht="24" customHeight="1">
      <c r="A1008" s="539" t="n"/>
      <c r="B1008" s="533" t="n"/>
      <c r="C1008" s="533" t="n"/>
      <c r="D1008" s="575" t="n"/>
      <c r="E1008" s="571" t="n"/>
      <c r="F1008" s="571" t="n"/>
      <c r="G1008" s="533" t="n"/>
      <c r="H1008" s="533" t="n"/>
    </row>
    <row r="1009" ht="24" customHeight="1">
      <c r="A1009" s="539" t="n"/>
      <c r="B1009" s="533" t="n"/>
      <c r="C1009" s="533" t="n"/>
      <c r="D1009" s="575" t="n"/>
      <c r="E1009" s="571" t="n"/>
      <c r="F1009" s="571" t="n"/>
      <c r="G1009" s="533" t="n"/>
      <c r="H1009" s="533" t="n"/>
    </row>
    <row r="1010" ht="24" customHeight="1">
      <c r="A1010" s="539" t="n"/>
      <c r="B1010" s="533" t="n"/>
      <c r="C1010" s="533" t="n"/>
      <c r="D1010" s="575" t="n"/>
      <c r="E1010" s="571" t="n"/>
      <c r="F1010" s="571" t="n"/>
      <c r="G1010" s="533" t="n"/>
      <c r="H1010" s="533" t="n"/>
    </row>
    <row r="1011" ht="24" customHeight="1">
      <c r="A1011" s="539" t="n"/>
      <c r="B1011" s="533" t="n"/>
      <c r="C1011" s="533" t="n"/>
      <c r="D1011" s="575" t="n"/>
      <c r="E1011" s="571" t="n"/>
      <c r="F1011" s="571" t="n"/>
      <c r="G1011" s="533" t="n"/>
      <c r="H1011" s="533" t="n"/>
    </row>
    <row r="1012" ht="24" customHeight="1">
      <c r="A1012" s="539" t="n"/>
      <c r="B1012" s="533" t="n"/>
      <c r="C1012" s="533" t="n"/>
      <c r="D1012" s="575" t="n"/>
      <c r="E1012" s="571" t="n"/>
      <c r="F1012" s="571" t="n"/>
      <c r="G1012" s="533" t="n"/>
      <c r="H1012" s="533" t="n"/>
    </row>
    <row r="1013" ht="24" customHeight="1">
      <c r="A1013" s="539" t="n"/>
      <c r="B1013" s="533" t="n"/>
      <c r="C1013" s="533" t="n"/>
      <c r="D1013" s="575" t="n"/>
      <c r="E1013" s="571" t="n"/>
      <c r="F1013" s="571" t="n"/>
      <c r="G1013" s="533" t="n"/>
      <c r="H1013" s="533" t="n"/>
    </row>
    <row r="1014" ht="24" customHeight="1">
      <c r="A1014" s="539" t="n"/>
      <c r="B1014" s="533" t="n"/>
      <c r="C1014" s="533" t="n"/>
      <c r="D1014" s="575" t="n"/>
      <c r="E1014" s="571" t="n"/>
      <c r="F1014" s="571" t="n"/>
      <c r="G1014" s="533" t="n"/>
      <c r="H1014" s="533" t="n"/>
    </row>
    <row r="1015" ht="24" customHeight="1">
      <c r="A1015" s="539" t="n"/>
      <c r="B1015" s="533" t="n"/>
      <c r="C1015" s="533" t="n"/>
      <c r="D1015" s="575" t="n"/>
      <c r="E1015" s="571" t="n"/>
      <c r="F1015" s="571" t="n"/>
      <c r="G1015" s="533" t="n"/>
      <c r="H1015" s="533" t="n"/>
    </row>
    <row r="1016" ht="24" customHeight="1">
      <c r="A1016" s="539" t="n"/>
      <c r="B1016" s="533" t="n"/>
      <c r="C1016" s="533" t="n"/>
      <c r="D1016" s="575" t="n"/>
      <c r="E1016" s="571" t="n"/>
      <c r="F1016" s="571" t="n"/>
      <c r="G1016" s="533" t="n"/>
      <c r="H1016" s="533" t="n"/>
    </row>
    <row r="1017" ht="24" customHeight="1">
      <c r="A1017" s="539" t="n"/>
      <c r="B1017" s="533" t="n"/>
      <c r="C1017" s="533" t="n"/>
      <c r="D1017" s="575" t="n"/>
      <c r="E1017" s="571" t="n"/>
      <c r="F1017" s="571" t="n"/>
      <c r="G1017" s="533" t="n"/>
      <c r="H1017" s="533" t="n"/>
    </row>
    <row r="1018" ht="24" customHeight="1">
      <c r="A1018" s="539" t="n"/>
      <c r="B1018" s="533" t="n"/>
      <c r="C1018" s="533" t="n"/>
      <c r="D1018" s="575" t="n"/>
      <c r="E1018" s="571" t="n"/>
      <c r="F1018" s="571" t="n"/>
      <c r="G1018" s="533" t="n"/>
      <c r="H1018" s="533" t="n"/>
    </row>
    <row r="1019" ht="24" customHeight="1">
      <c r="A1019" s="539" t="n"/>
      <c r="B1019" s="533" t="n"/>
      <c r="C1019" s="533" t="n"/>
      <c r="D1019" s="575" t="n"/>
      <c r="E1019" s="571" t="n"/>
      <c r="F1019" s="571" t="n"/>
      <c r="G1019" s="533" t="n"/>
      <c r="H1019" s="533" t="n"/>
    </row>
    <row r="1020" ht="24" customHeight="1">
      <c r="A1020" s="539" t="n"/>
      <c r="B1020" s="533" t="n"/>
      <c r="C1020" s="533" t="n"/>
      <c r="D1020" s="575" t="n"/>
      <c r="E1020" s="571" t="n"/>
      <c r="F1020" s="571" t="n"/>
      <c r="G1020" s="533" t="n"/>
      <c r="H1020" s="533" t="n"/>
    </row>
    <row r="1021" ht="24" customHeight="1">
      <c r="A1021" s="539" t="n"/>
      <c r="B1021" s="533" t="n"/>
      <c r="C1021" s="533" t="n"/>
      <c r="D1021" s="575" t="n"/>
      <c r="E1021" s="571" t="n"/>
      <c r="F1021" s="571" t="n"/>
      <c r="G1021" s="533" t="n"/>
      <c r="H1021" s="533" t="n"/>
    </row>
    <row r="1022" ht="24" customHeight="1">
      <c r="A1022" s="539" t="n"/>
      <c r="B1022" s="533" t="n"/>
      <c r="C1022" s="533" t="n"/>
      <c r="D1022" s="575" t="n"/>
      <c r="E1022" s="571" t="n"/>
      <c r="F1022" s="571" t="n"/>
      <c r="G1022" s="533" t="n"/>
      <c r="H1022" s="533" t="n"/>
    </row>
    <row r="1023" ht="24" customHeight="1">
      <c r="A1023" s="539" t="n"/>
      <c r="B1023" s="533" t="n"/>
      <c r="C1023" s="533" t="n"/>
      <c r="D1023" s="575" t="n"/>
      <c r="E1023" s="571" t="n"/>
      <c r="F1023" s="571" t="n"/>
      <c r="G1023" s="533" t="n"/>
      <c r="H1023" s="533" t="n"/>
    </row>
    <row r="1024" ht="24" customHeight="1">
      <c r="A1024" s="539" t="n"/>
      <c r="B1024" s="533" t="n"/>
      <c r="C1024" s="533" t="n"/>
      <c r="D1024" s="575" t="n"/>
      <c r="E1024" s="571" t="n"/>
      <c r="F1024" s="571" t="n"/>
      <c r="G1024" s="533" t="n"/>
      <c r="H1024" s="533" t="n"/>
    </row>
    <row r="1025" ht="24" customHeight="1">
      <c r="A1025" s="539" t="n"/>
      <c r="B1025" s="533" t="n"/>
      <c r="C1025" s="533" t="n"/>
      <c r="D1025" s="575" t="n"/>
      <c r="E1025" s="571" t="n"/>
      <c r="F1025" s="571" t="n"/>
      <c r="G1025" s="533" t="n"/>
      <c r="H1025" s="533" t="n"/>
    </row>
    <row r="1026" ht="24" customHeight="1">
      <c r="A1026" s="539" t="n"/>
      <c r="B1026" s="533" t="n"/>
      <c r="C1026" s="533" t="n"/>
      <c r="D1026" s="575" t="n"/>
      <c r="E1026" s="571" t="n"/>
      <c r="F1026" s="571" t="n"/>
      <c r="G1026" s="533" t="n"/>
      <c r="H1026" s="533" t="n"/>
    </row>
    <row r="1027" ht="24" customHeight="1">
      <c r="A1027" s="539" t="n"/>
      <c r="B1027" s="533" t="n"/>
      <c r="C1027" s="533" t="n"/>
      <c r="D1027" s="575" t="n"/>
      <c r="E1027" s="571" t="n"/>
      <c r="F1027" s="571" t="n"/>
      <c r="G1027" s="533" t="n"/>
      <c r="H1027" s="533" t="n"/>
    </row>
    <row r="1028" ht="24" customHeight="1">
      <c r="A1028" s="539" t="n"/>
      <c r="B1028" s="533" t="n"/>
      <c r="C1028" s="533" t="n"/>
      <c r="D1028" s="575" t="n"/>
      <c r="E1028" s="571" t="n"/>
      <c r="F1028" s="571" t="n"/>
      <c r="G1028" s="533" t="n"/>
      <c r="H1028" s="533" t="n"/>
    </row>
    <row r="1029" ht="24" customHeight="1">
      <c r="A1029" s="539" t="n"/>
      <c r="B1029" s="533" t="n"/>
      <c r="C1029" s="533" t="n"/>
      <c r="D1029" s="575" t="n"/>
      <c r="E1029" s="571" t="n"/>
      <c r="F1029" s="571" t="n"/>
      <c r="G1029" s="533" t="n"/>
      <c r="H1029" s="533" t="n"/>
    </row>
    <row r="1030" ht="24" customHeight="1">
      <c r="A1030" s="539" t="n"/>
      <c r="B1030" s="533" t="n"/>
      <c r="C1030" s="533" t="n"/>
      <c r="D1030" s="575" t="n"/>
      <c r="E1030" s="571" t="n"/>
      <c r="F1030" s="571" t="n"/>
      <c r="G1030" s="533" t="n"/>
      <c r="H1030" s="533" t="n"/>
    </row>
    <row r="1031" ht="24" customHeight="1">
      <c r="A1031" s="539" t="n"/>
      <c r="B1031" s="533" t="n"/>
      <c r="C1031" s="533" t="n"/>
      <c r="D1031" s="575" t="n"/>
      <c r="E1031" s="571" t="n"/>
      <c r="F1031" s="571" t="n"/>
      <c r="G1031" s="533" t="n"/>
      <c r="H1031" s="533" t="n"/>
    </row>
    <row r="1032" ht="24" customHeight="1">
      <c r="A1032" s="539" t="n"/>
      <c r="B1032" s="533" t="n"/>
      <c r="C1032" s="533" t="n"/>
      <c r="D1032" s="575" t="n"/>
      <c r="E1032" s="571" t="n"/>
      <c r="F1032" s="571" t="n"/>
      <c r="G1032" s="533" t="n"/>
      <c r="H1032" s="533" t="n"/>
    </row>
    <row r="1033" ht="24" customHeight="1">
      <c r="A1033" s="539" t="n"/>
      <c r="B1033" s="533" t="n"/>
      <c r="C1033" s="533" t="n"/>
      <c r="D1033" s="575" t="n"/>
      <c r="E1033" s="571" t="n"/>
      <c r="F1033" s="571" t="n"/>
      <c r="G1033" s="533" t="n"/>
      <c r="H1033" s="533" t="n"/>
    </row>
    <row r="1034" ht="24" customHeight="1">
      <c r="A1034" s="539" t="n"/>
      <c r="B1034" s="533" t="n"/>
      <c r="C1034" s="533" t="n"/>
      <c r="D1034" s="575" t="n"/>
      <c r="E1034" s="571" t="n"/>
      <c r="F1034" s="571" t="n"/>
      <c r="G1034" s="533" t="n"/>
      <c r="H1034" s="533" t="n"/>
    </row>
    <row r="1035" ht="24" customHeight="1">
      <c r="A1035" s="539" t="n"/>
      <c r="B1035" s="533" t="n"/>
      <c r="C1035" s="533" t="n"/>
      <c r="D1035" s="575" t="n"/>
      <c r="E1035" s="571" t="n"/>
      <c r="F1035" s="571" t="n"/>
      <c r="G1035" s="533" t="n"/>
      <c r="H1035" s="533" t="n"/>
    </row>
    <row r="1036" ht="24" customHeight="1">
      <c r="A1036" s="539" t="n"/>
      <c r="B1036" s="533" t="n"/>
      <c r="C1036" s="533" t="n"/>
      <c r="D1036" s="575" t="n"/>
      <c r="E1036" s="571" t="n"/>
      <c r="F1036" s="571" t="n"/>
      <c r="G1036" s="533" t="n"/>
      <c r="H1036" s="533" t="n"/>
    </row>
    <row r="1037" ht="24" customHeight="1">
      <c r="A1037" s="539" t="n"/>
      <c r="B1037" s="533" t="n"/>
      <c r="C1037" s="533" t="n"/>
      <c r="D1037" s="575" t="n"/>
      <c r="E1037" s="571" t="n"/>
      <c r="F1037" s="571" t="n"/>
      <c r="G1037" s="533" t="n"/>
      <c r="H1037" s="533" t="n"/>
    </row>
    <row r="1038">
      <c r="A1038" s="533" t="n"/>
      <c r="B1038" s="533" t="n"/>
      <c r="C1038" s="533" t="n"/>
      <c r="D1038" s="533" t="n"/>
      <c r="E1038" s="533" t="n"/>
      <c r="F1038" s="533" t="n"/>
      <c r="G1038" s="533" t="n"/>
      <c r="H1038" s="533" t="n"/>
    </row>
    <row r="1039">
      <c r="A1039" s="533" t="n"/>
      <c r="B1039" s="533" t="n"/>
      <c r="C1039" s="533" t="n"/>
      <c r="D1039" s="533" t="n"/>
      <c r="E1039" s="533" t="n"/>
      <c r="F1039" s="533" t="n"/>
      <c r="G1039" s="533" t="n"/>
      <c r="H1039" s="533" t="n"/>
    </row>
    <row r="1040">
      <c r="A1040" s="533" t="inlineStr">
        <is>
          <t>Check your work</t>
        </is>
      </c>
      <c r="B1040" s="533" t="inlineStr">
        <is>
          <t>Status</t>
        </is>
      </c>
      <c r="C1040" s="533" t="n"/>
      <c r="D1040" s="533" t="n"/>
      <c r="E1040" s="533" t="n"/>
      <c r="F1040" s="533" t="n"/>
      <c r="G1040" s="533" t="n"/>
      <c r="H1040" s="533" t="n"/>
    </row>
    <row r="1041">
      <c r="A1041" s="533" t="inlineStr">
        <is>
          <t>Th option a mean npv</t>
        </is>
      </c>
      <c r="B1041" s="533">
        <f>IFERROR(IF('POST-CLASS_Part 1'!B17="","Not started",IF(ABS('POST-CLASS_Part 1'!B17-(418599.339132431))&lt;=837.198678264862,"✓ Checked","Recheck method")),"Recheck formula")</f>
        <v/>
      </c>
      <c r="C1041" s="533" t="n"/>
      <c r="D1041" s="533" t="n"/>
      <c r="E1041" s="533" t="n"/>
      <c r="F1041" s="533" t="n"/>
      <c r="G1041" s="533" t="n"/>
      <c r="H1041" s="533" t="n"/>
    </row>
    <row r="1042">
      <c r="A1042" s="533" t="inlineStr">
        <is>
          <t>Th option b mean npv</t>
        </is>
      </c>
      <c r="B1042" s="533">
        <f>IFERROR(IF('POST-CLASS_Part 1'!C17="","Not started",IF(ABS('POST-CLASS_Part 1'!C17-(384201.709447328))&lt;=768.403418894655,"✓ Checked","Recheck method")),"Recheck formula")</f>
        <v/>
      </c>
      <c r="C1042" s="533" t="n"/>
      <c r="D1042" s="533" t="n"/>
      <c r="E1042" s="533" t="n"/>
      <c r="F1042" s="533" t="n"/>
      <c r="G1042" s="533" t="n"/>
      <c r="H1042" s="533" t="n"/>
    </row>
    <row r="1043">
      <c r="A1043" s="533" t="inlineStr">
        <is>
          <t>Th option a standard deviation npv</t>
        </is>
      </c>
      <c r="B1043" s="533">
        <f>IFERROR(IF('POST-CLASS_Part 1'!B18="","Not started",IF(ABS('POST-CLASS_Part 1'!B18-(494991.913928358))&lt;=989.983827856716,"✓ Checked","Recheck method")),"Recheck formula")</f>
        <v/>
      </c>
      <c r="C1043" s="533" t="n"/>
      <c r="D1043" s="533" t="n"/>
      <c r="E1043" s="533" t="n"/>
      <c r="F1043" s="533" t="n"/>
      <c r="G1043" s="533" t="n"/>
      <c r="H1043" s="533" t="n"/>
    </row>
    <row r="1044">
      <c r="A1044" s="533" t="inlineStr">
        <is>
          <t>Th option b standard deviation npv</t>
        </is>
      </c>
      <c r="B1044" s="533">
        <f>IFERROR(IF('POST-CLASS_Part 1'!C18="","Not started",IF(ABS('POST-CLASS_Part 1'!C18-(264806.138684578))&lt;=529.612277369156,"✓ Checked","Recheck method")),"Recheck formula")</f>
        <v/>
      </c>
      <c r="C1044" s="533" t="n"/>
      <c r="D1044" s="533" t="n"/>
      <c r="E1044" s="533" t="n"/>
      <c r="F1044" s="533" t="n"/>
      <c r="G1044" s="533" t="n"/>
      <c r="H1044" s="533" t="n"/>
    </row>
    <row r="1045">
      <c r="A1045" s="533" t="inlineStr">
        <is>
          <t>Th option a p05 npv</t>
        </is>
      </c>
      <c r="B1045" s="533">
        <f>IFERROR(IF('POST-CLASS_Part 1'!B19="","Not started",IF(ABS('POST-CLASS_Part 1'!B19-(-354956.509684554))&lt;=709.913019369109,"✓ Checked","Recheck method")),"Recheck formula")</f>
        <v/>
      </c>
      <c r="C1045" s="533" t="n"/>
      <c r="D1045" s="533" t="n"/>
      <c r="E1045" s="533" t="n"/>
      <c r="F1045" s="533" t="n"/>
      <c r="G1045" s="533" t="n"/>
      <c r="H1045" s="533" t="n"/>
    </row>
    <row r="1046">
      <c r="A1046" s="533" t="inlineStr">
        <is>
          <t>Th option b p05 npv</t>
        </is>
      </c>
      <c r="B1046" s="533">
        <f>IFERROR(IF('POST-CLASS_Part 1'!C19="","Not started",IF(ABS('POST-CLASS_Part 1'!C19-(-29627.9544686465))&lt;=59.2559089372931,"✓ Checked","Recheck method")),"Recheck formula")</f>
        <v/>
      </c>
      <c r="C1046" s="533" t="n"/>
      <c r="D1046" s="533" t="n"/>
      <c r="E1046" s="533" t="n"/>
      <c r="F1046" s="533" t="n"/>
      <c r="G1046" s="533" t="n"/>
      <c r="H1046" s="533" t="n"/>
    </row>
    <row r="1047">
      <c r="A1047" s="533" t="inlineStr">
        <is>
          <t>Th option a loss probability</t>
        </is>
      </c>
      <c r="B1047" s="533">
        <f>IFERROR(IF('POST-CLASS_Part 1'!B20="","Not started",IF(ABS('POST-CLASS_Part 1'!B20-(0.193))&lt;=0.0015,"✓ Checked","Recheck method")),"Recheck formula")</f>
        <v/>
      </c>
      <c r="C1047" s="533" t="n"/>
      <c r="D1047" s="533" t="n"/>
      <c r="E1047" s="533" t="n"/>
      <c r="F1047" s="533" t="n"/>
      <c r="G1047" s="533" t="n"/>
      <c r="H1047" s="533" t="n"/>
    </row>
    <row r="1048">
      <c r="A1048" s="533" t="inlineStr">
        <is>
          <t>Th option b loss probability</t>
        </is>
      </c>
      <c r="B1048" s="533">
        <f>IFERROR(IF('POST-CLASS_Part 1'!C20="","Not started",IF(ABS('POST-CLASS_Part 1'!C20-(0.073))&lt;=0.0015,"✓ Checked","Recheck method")),"Recheck formula")</f>
        <v/>
      </c>
      <c r="C1048" s="533" t="n"/>
      <c r="D1048" s="533" t="n"/>
      <c r="E1048" s="533" t="n"/>
      <c r="F1048" s="533" t="n"/>
      <c r="G1048" s="533" t="n"/>
      <c r="H1048" s="533" t="n"/>
    </row>
    <row r="1049">
      <c r="A1049" s="533" t="inlineStr">
        <is>
          <t>Th option a trial count</t>
        </is>
      </c>
      <c r="B1049" s="533">
        <f>IFERROR(IF('POST-CLASS_Part 1'!B21="","Not started",IF(ABS('POST-CLASS_Part 1'!B21-(1000))&lt;=1e-09,"✓ Checked","Recheck method")),"Recheck formula")</f>
        <v/>
      </c>
      <c r="C1049" s="533" t="n"/>
      <c r="D1049" s="533" t="n"/>
      <c r="E1049" s="533" t="n"/>
      <c r="F1049" s="533" t="n"/>
      <c r="G1049" s="533" t="n"/>
      <c r="H1049" s="533" t="n"/>
    </row>
    <row r="1050">
      <c r="A1050" s="533" t="inlineStr">
        <is>
          <t>Th option b trial count</t>
        </is>
      </c>
      <c r="B1050" s="533">
        <f>IFERROR(IF('POST-CLASS_Part 1'!C21="","Not started",IF(ABS('POST-CLASS_Part 1'!C21-(1000))&lt;=1e-09,"✓ Checked","Recheck method")),"Recheck formula")</f>
        <v/>
      </c>
      <c r="C1050" s="533" t="n"/>
      <c r="D1050" s="533" t="n"/>
      <c r="E1050" s="533" t="n"/>
      <c r="F1050" s="533" t="n"/>
      <c r="G1050" s="533" t="n"/>
      <c r="H1050" s="533" t="n"/>
    </row>
    <row r="1051">
      <c r="A1051" s="533" t="inlineStr">
        <is>
          <t>Th mean npv gap</t>
        </is>
      </c>
      <c r="B1051" s="533">
        <f>IFERROR(IF('POST-CLASS_Part 1'!B22="","Not started",IF(ABS('POST-CLASS_Part 1'!B22-(34397.6296851034))&lt;=68.7952593702067,"✓ Checked","Recheck method")),"Recheck formula")</f>
        <v/>
      </c>
      <c r="C1051" s="533" t="n"/>
      <c r="D1051" s="533" t="n"/>
      <c r="E1051" s="533" t="n"/>
      <c r="F1051" s="533" t="n"/>
      <c r="G1051" s="533" t="n"/>
      <c r="H1051" s="533" t="n"/>
    </row>
    <row r="1052">
      <c r="A1052" s="533" t="inlineStr">
        <is>
          <t>Th loss probability gap</t>
        </is>
      </c>
      <c r="B1052" s="533">
        <f>IFERROR(IF('POST-CLASS_Part 1'!B23="","Not started",IF(ABS('POST-CLASS_Part 1'!B23-(0.12))&lt;=0.0015,"✓ Checked","Recheck method")),"Recheck formula")</f>
        <v/>
      </c>
      <c r="C1052" s="533" t="n"/>
      <c r="D1052" s="533" t="n"/>
      <c r="E1052" s="533" t="n"/>
      <c r="F1052" s="533" t="n"/>
      <c r="G1052" s="533" t="n"/>
      <c r="H1052" s="533" t="n"/>
    </row>
    <row r="1053">
      <c r="A1053" s="533" t="inlineStr">
        <is>
          <t>Th first z-score</t>
        </is>
      </c>
      <c r="B1053" s="533">
        <f>IFERROR(IF('POST-CLASS_Part 1'!D38="","Not started",IF(ABS('POST-CLASS_Part 1'!D38-(-1.38471711030777))&lt;=0.00276943422061553,"✓ Checked","Recheck method")),"Recheck formula")</f>
        <v/>
      </c>
      <c r="C1053" s="533" t="n"/>
      <c r="D1053" s="533" t="n"/>
      <c r="E1053" s="533" t="n"/>
      <c r="F1053" s="533" t="n"/>
      <c r="G1053" s="533" t="n"/>
      <c r="H1053" s="533" t="n"/>
    </row>
    <row r="1054">
      <c r="A1054" s="533" t="inlineStr">
        <is>
          <t>Th first option a npv</t>
        </is>
      </c>
      <c r="B1054" s="533">
        <f>IFERROR(IF('POST-CLASS_Part 1'!E38="","Not started",IF(ABS('POST-CLASS_Part 1'!E38-(-248409.029936173))&lt;=496.818059872347,"✓ Checked","Recheck method")),"Recheck formula")</f>
        <v/>
      </c>
      <c r="C1054" s="533" t="n"/>
      <c r="D1054" s="533" t="n"/>
      <c r="E1054" s="533" t="n"/>
      <c r="F1054" s="533" t="n"/>
      <c r="G1054" s="533" t="n"/>
      <c r="H1054" s="533" t="n"/>
    </row>
    <row r="1055">
      <c r="A1055" s="533" t="inlineStr">
        <is>
          <t>Th first option b npv</t>
        </is>
      </c>
      <c r="B1055" s="533">
        <f>IFERROR(IF('POST-CLASS_Part 1'!F38="","Not started",IF(ABS('POST-CLASS_Part 1'!F38-(27371.8184666859))&lt;=54.7436369333719,"✓ Checked","Recheck method")),"Recheck formula")</f>
        <v/>
      </c>
      <c r="C1055" s="533" t="n"/>
      <c r="D1055" s="533" t="n"/>
      <c r="E1055" s="533" t="n"/>
      <c r="F1055" s="533" t="n"/>
      <c r="G1055" s="533" t="n"/>
      <c r="H1055" s="533" t="n"/>
    </row>
    <row r="1056">
      <c r="A1056" s="533" t="n"/>
      <c r="B1056" s="533" t="n"/>
      <c r="C1056" s="533" t="n"/>
      <c r="D1056" s="533" t="n"/>
      <c r="E1056" s="533" t="n"/>
      <c r="F1056" s="533" t="n"/>
      <c r="G1056" s="533" t="n"/>
      <c r="H1056" s="533" t="n"/>
    </row>
    <row r="1057" ht="30" customHeight="1">
      <c r="A1057" s="533" t="inlineStr">
        <is>
          <t>Formatting is already set. Enter your formula, then press Enter. To restore: select cell &gt; Format Cells &gt; Number or Custom.</t>
        </is>
      </c>
      <c r="B1057" s="533" t="n"/>
      <c r="C1057" s="533" t="n"/>
      <c r="D1057" s="533" t="n"/>
      <c r="E1057" s="533" t="n"/>
      <c r="F1057" s="533" t="n"/>
      <c r="G1057" s="533" t="n"/>
      <c r="H1057" s="533" t="n"/>
    </row>
    <row r="1058" ht="32" customHeight="1">
      <c r="A1058" s="533" t="inlineStr">
        <is>
          <t>B7</t>
        </is>
      </c>
      <c r="B1058" s="533" t="inlineStr">
        <is>
          <t>Percentage, 1 decimal; unrelated example only: a stored fraction of 0.125 displays as 12.5%; do not multiply by 100. | Format code: 0.0%</t>
        </is>
      </c>
      <c r="C1058" s="533" t="n"/>
      <c r="D1058" s="533" t="n"/>
      <c r="E1058" s="533" t="n"/>
      <c r="F1058" s="533" t="n"/>
      <c r="G1058" s="533" t="n"/>
      <c r="H1058" s="533" t="n"/>
    </row>
    <row r="1059" ht="32" customHeight="1">
      <c r="A1059" s="533" t="inlineStr">
        <is>
          <t>B8</t>
        </is>
      </c>
      <c r="B1059" s="533" t="inlineStr">
        <is>
          <t>Number, 0 decimals, years; unrelated example only: a stored value of 7 displays as 7 years. | Format code: 0</t>
        </is>
      </c>
      <c r="C1059" s="533" t="n"/>
      <c r="D1059" s="533" t="n"/>
      <c r="E1059" s="533" t="n"/>
      <c r="F1059" s="533" t="n"/>
      <c r="G1059" s="533" t="n"/>
      <c r="H1059" s="533" t="n"/>
    </row>
    <row r="1060" ht="32" customHeight="1">
      <c r="A1060" s="533" t="inlineStr">
        <is>
          <t>B10</t>
        </is>
      </c>
      <c r="B1060" s="533" t="inlineStr">
        <is>
          <t>Currency, 0 decimals, dollars; unrelated example only: a stored value of 7260.4 displays as 7260 dollars. | Format code: $#,##0</t>
        </is>
      </c>
      <c r="C1060" s="533" t="n"/>
      <c r="D1060" s="533" t="n"/>
      <c r="E1060" s="533" t="n"/>
      <c r="F1060" s="533" t="n"/>
      <c r="G1060" s="533" t="n"/>
      <c r="H1060" s="533" t="n"/>
    </row>
    <row r="1061" ht="32" customHeight="1">
      <c r="A1061" s="533" t="inlineStr">
        <is>
          <t>C10</t>
        </is>
      </c>
      <c r="B1061" s="533" t="inlineStr">
        <is>
          <t>Currency, 0 decimals, dollars; unrelated example only: a stored value of 7260.4 displays as 7260 dollars. | Format code: $#,##0</t>
        </is>
      </c>
      <c r="C1061" s="533" t="n"/>
      <c r="D1061" s="533" t="n"/>
      <c r="E1061" s="533" t="n"/>
      <c r="F1061" s="533" t="n"/>
      <c r="G1061" s="533" t="n"/>
      <c r="H1061" s="533" t="n"/>
    </row>
    <row r="1062" ht="32" customHeight="1">
      <c r="A1062" s="533" t="inlineStr">
        <is>
          <t>B11</t>
        </is>
      </c>
      <c r="B1062" s="533" t="inlineStr">
        <is>
          <t>Currency, 0 decimals, dollars per year; unrelated example only: a stored value of 7260.4 displays as 7260 dollars per year. | Format code: $#,##0</t>
        </is>
      </c>
      <c r="C1062" s="533" t="n"/>
      <c r="D1062" s="533" t="n"/>
      <c r="E1062" s="533" t="n"/>
      <c r="F1062" s="533" t="n"/>
      <c r="G1062" s="533" t="n"/>
      <c r="H1062" s="533" t="n"/>
    </row>
    <row r="1063" ht="32" customHeight="1">
      <c r="A1063" s="533" t="inlineStr">
        <is>
          <t>C11</t>
        </is>
      </c>
      <c r="B1063" s="533" t="inlineStr">
        <is>
          <t>Currency, 0 decimals, dollars per year; unrelated example only: a stored value of 7260.4 displays as 7260 dollars per year. | Format code: $#,##0</t>
        </is>
      </c>
      <c r="C1063" s="533" t="n"/>
      <c r="D1063" s="533" t="n"/>
      <c r="E1063" s="533" t="n"/>
      <c r="F1063" s="533" t="n"/>
      <c r="G1063" s="533" t="n"/>
      <c r="H1063" s="533" t="n"/>
    </row>
    <row r="1064" ht="32" customHeight="1">
      <c r="A1064" s="533" t="inlineStr">
        <is>
          <t>B12</t>
        </is>
      </c>
      <c r="B1064" s="533" t="inlineStr">
        <is>
          <t>Currency, 0 decimals, dollars per year; unrelated example only: a stored value of 7260.4 displays as 7260 dollars per year. | Format code: $#,##0</t>
        </is>
      </c>
      <c r="C1064" s="533" t="n"/>
      <c r="D1064" s="533" t="n"/>
      <c r="E1064" s="533" t="n"/>
      <c r="F1064" s="533" t="n"/>
      <c r="G1064" s="533" t="n"/>
      <c r="H1064" s="533" t="n"/>
    </row>
    <row r="1065" ht="32" customHeight="1">
      <c r="A1065" s="533" t="inlineStr">
        <is>
          <t>C12</t>
        </is>
      </c>
      <c r="B1065" s="533" t="inlineStr">
        <is>
          <t>Currency, 0 decimals, dollars per year; unrelated example only: a stored value of 7260.4 displays as 7260 dollars per year. | Format code: $#,##0</t>
        </is>
      </c>
      <c r="C1065" s="533" t="n"/>
      <c r="D1065" s="533" t="n"/>
      <c r="E1065" s="533" t="n"/>
      <c r="F1065" s="533" t="n"/>
      <c r="G1065" s="533" t="n"/>
      <c r="H1065" s="533" t="n"/>
    </row>
    <row r="1066" ht="32" customHeight="1">
      <c r="A1066" s="533" t="inlineStr">
        <is>
          <t>B17</t>
        </is>
      </c>
      <c r="B1066" s="533" t="inlineStr">
        <is>
          <t>Currency, 0 decimals, dollars; unrelated example only: a stored value of 7260.4 displays as 7260 dollars. | Format code: $#,##0</t>
        </is>
      </c>
      <c r="C1066" s="533" t="n"/>
      <c r="D1066" s="533" t="n"/>
      <c r="E1066" s="533" t="n"/>
      <c r="F1066" s="533" t="n"/>
      <c r="G1066" s="533" t="n"/>
      <c r="H1066" s="533" t="n"/>
    </row>
    <row r="1067" ht="32" customHeight="1">
      <c r="A1067" s="533" t="inlineStr">
        <is>
          <t>C17</t>
        </is>
      </c>
      <c r="B1067" s="533" t="inlineStr">
        <is>
          <t>Currency, 0 decimals, dollars; unrelated example only: a stored value of 7260.4 displays as 7260 dollars. | Format code: $#,##0</t>
        </is>
      </c>
      <c r="C1067" s="533" t="n"/>
      <c r="D1067" s="533" t="n"/>
      <c r="E1067" s="533" t="n"/>
      <c r="F1067" s="533" t="n"/>
      <c r="G1067" s="533" t="n"/>
      <c r="H1067" s="533" t="n"/>
    </row>
    <row r="1068" ht="32" customHeight="1">
      <c r="A1068" s="533" t="inlineStr">
        <is>
          <t>B18</t>
        </is>
      </c>
      <c r="B1068" s="533" t="inlineStr">
        <is>
          <t>Currency, 0 decimals, dollars; unrelated example only: a stored value of 7260.4 displays as 7260 dollars. | Format code: $#,##0</t>
        </is>
      </c>
      <c r="C1068" s="533" t="n"/>
      <c r="D1068" s="533" t="n"/>
      <c r="E1068" s="533" t="n"/>
      <c r="F1068" s="533" t="n"/>
      <c r="G1068" s="533" t="n"/>
      <c r="H1068" s="533" t="n"/>
    </row>
    <row r="1069" ht="32" customHeight="1">
      <c r="A1069" s="533" t="inlineStr">
        <is>
          <t>C18</t>
        </is>
      </c>
      <c r="B1069" s="533" t="inlineStr">
        <is>
          <t>Currency, 0 decimals, dollars; unrelated example only: a stored value of 7260.4 displays as 7260 dollars. | Format code: $#,##0</t>
        </is>
      </c>
      <c r="C1069" s="533" t="n"/>
      <c r="D1069" s="533" t="n"/>
      <c r="E1069" s="533" t="n"/>
      <c r="F1069" s="533" t="n"/>
      <c r="G1069" s="533" t="n"/>
      <c r="H1069" s="533" t="n"/>
    </row>
    <row r="1070" ht="32" customHeight="1">
      <c r="A1070" s="533" t="inlineStr">
        <is>
          <t>B19</t>
        </is>
      </c>
      <c r="B1070" s="533" t="inlineStr">
        <is>
          <t>Currency, 0 decimals, dollars; unrelated example only: a stored value of 7260.4 displays as 7260 dollars. | Format code: $#,##0</t>
        </is>
      </c>
      <c r="C1070" s="533" t="n"/>
      <c r="D1070" s="533" t="n"/>
      <c r="E1070" s="533" t="n"/>
      <c r="F1070" s="533" t="n"/>
      <c r="G1070" s="533" t="n"/>
      <c r="H1070" s="533" t="n"/>
    </row>
    <row r="1071" ht="32" customHeight="1">
      <c r="A1071" s="533" t="inlineStr">
        <is>
          <t>C19</t>
        </is>
      </c>
      <c r="B1071" s="533" t="inlineStr">
        <is>
          <t>Currency, 0 decimals, dollars; unrelated example only: a stored value of 7260.4 displays as 7260 dollars. | Format code: $#,##0</t>
        </is>
      </c>
      <c r="C1071" s="533" t="n"/>
      <c r="D1071" s="533" t="n"/>
      <c r="E1071" s="533" t="n"/>
      <c r="F1071" s="533" t="n"/>
      <c r="G1071" s="533" t="n"/>
      <c r="H1071" s="533" t="n"/>
    </row>
    <row r="1072" ht="32" customHeight="1">
      <c r="A1072" s="533" t="inlineStr">
        <is>
          <t>B20</t>
        </is>
      </c>
      <c r="B1072" s="533" t="inlineStr">
        <is>
          <t>Percentage, 1 decimal; unrelated example only: a stored fraction of 0.125 displays as 12.5%; enter the fraction formula, not a value multiplied by 100. | Format code: 0.0%</t>
        </is>
      </c>
      <c r="C1072" s="533" t="n"/>
      <c r="D1072" s="533" t="n"/>
      <c r="E1072" s="533" t="n"/>
      <c r="F1072" s="533" t="n"/>
      <c r="G1072" s="533" t="n"/>
      <c r="H1072" s="533" t="n"/>
    </row>
    <row r="1073" ht="32" customHeight="1">
      <c r="A1073" s="533" t="inlineStr">
        <is>
          <t>C20</t>
        </is>
      </c>
      <c r="B1073" s="533" t="inlineStr">
        <is>
          <t>Percentage, 1 decimal; unrelated example only: a stored fraction of 0.125 displays as 12.5%; enter the fraction formula, not a value multiplied by 100. | Format code: 0.0%</t>
        </is>
      </c>
      <c r="C1073" s="533" t="n"/>
      <c r="D1073" s="533" t="n"/>
      <c r="E1073" s="533" t="n"/>
      <c r="F1073" s="533" t="n"/>
      <c r="G1073" s="533" t="n"/>
      <c r="H1073" s="533" t="n"/>
    </row>
    <row r="1074" ht="32" customHeight="1">
      <c r="A1074" s="533" t="inlineStr">
        <is>
          <t>B21</t>
        </is>
      </c>
      <c r="B1074" s="533" t="inlineStr">
        <is>
          <t>Number, 0 decimals, trials; unrelated example only: a stored count of 7 displays as 7 trials. | Format code: 0</t>
        </is>
      </c>
      <c r="C1074" s="533" t="n"/>
      <c r="D1074" s="533" t="n"/>
      <c r="E1074" s="533" t="n"/>
      <c r="F1074" s="533" t="n"/>
      <c r="G1074" s="533" t="n"/>
      <c r="H1074" s="533" t="n"/>
    </row>
    <row r="1075" ht="32" customHeight="1">
      <c r="A1075" s="533" t="inlineStr">
        <is>
          <t>C21</t>
        </is>
      </c>
      <c r="B1075" s="533" t="inlineStr">
        <is>
          <t>Number, 0 decimals, trials; unrelated example only: a stored count of 7 displays as 7 trials. | Format code: 0</t>
        </is>
      </c>
      <c r="C1075" s="533" t="n"/>
      <c r="D1075" s="533" t="n"/>
      <c r="E1075" s="533" t="n"/>
      <c r="F1075" s="533" t="n"/>
      <c r="G1075" s="533" t="n"/>
      <c r="H1075" s="533" t="n"/>
    </row>
    <row r="1076" ht="32" customHeight="1">
      <c r="A1076" s="533" t="inlineStr">
        <is>
          <t>B22</t>
        </is>
      </c>
      <c r="B1076" s="533" t="inlineStr">
        <is>
          <t>Currency, 0 decimals, dollars; unrelated example only: a stored value of 7260.4 displays as 7260 dollars. | Format code: $#,##0</t>
        </is>
      </c>
      <c r="C1076" s="533" t="n"/>
      <c r="D1076" s="533" t="n"/>
      <c r="E1076" s="533" t="n"/>
      <c r="F1076" s="533" t="n"/>
      <c r="G1076" s="533" t="n"/>
      <c r="H1076" s="533" t="n"/>
    </row>
    <row r="1077" ht="32" customHeight="1">
      <c r="A1077" s="533" t="inlineStr">
        <is>
          <t>B23</t>
        </is>
      </c>
      <c r="B1077" s="533" t="inlineStr">
        <is>
          <t>Percentage, 1 decimal; unrelated example only: a stored difference of 0.025 displays as 2.5% and is described as 2.5 percentage points. | Format code: 0.0%</t>
        </is>
      </c>
      <c r="C1077" s="533" t="n"/>
      <c r="D1077" s="533" t="n"/>
      <c r="E1077" s="533" t="n"/>
      <c r="F1077" s="533" t="n"/>
      <c r="G1077" s="533" t="n"/>
      <c r="H1077" s="533" t="n"/>
    </row>
    <row r="1078" ht="32" customHeight="1">
      <c r="A1078" s="533" t="inlineStr">
        <is>
          <t>A38</t>
        </is>
      </c>
      <c r="B1078" s="533" t="inlineStr">
        <is>
          <t>Number, 0 decimals, trial index; unrelated example only: a stored index of 7 displays as 7. | Format code: 0</t>
        </is>
      </c>
      <c r="C1078" s="533" t="n"/>
      <c r="D1078" s="533" t="n"/>
      <c r="E1078" s="533" t="n"/>
      <c r="F1078" s="533" t="n"/>
      <c r="G1078" s="533" t="n"/>
      <c r="H1078" s="533" t="n"/>
    </row>
    <row r="1079" ht="32" customHeight="1">
      <c r="A1079" s="533" t="inlineStr">
        <is>
          <t>D38</t>
        </is>
      </c>
      <c r="B1079" s="533" t="inlineStr">
        <is>
          <t>Number, 4 decimals, standard-normal score; unrelated example only: a stored value of 1.23456 displays as 1.2346. | Format code: 0.0000</t>
        </is>
      </c>
      <c r="C1079" s="533" t="n"/>
      <c r="D1079" s="533" t="n"/>
      <c r="E1079" s="533" t="n"/>
      <c r="F1079" s="533" t="n"/>
      <c r="G1079" s="533" t="n"/>
      <c r="H1079" s="533" t="n"/>
    </row>
    <row r="1080" ht="32" customHeight="1">
      <c r="A1080" s="533" t="inlineStr">
        <is>
          <t>E38</t>
        </is>
      </c>
      <c r="B1080" s="533" t="inlineStr">
        <is>
          <t>Currency, 0 decimals, dollars; unrelated example only: a stored value of 7260.4 displays as 7260 dollars. | Format code: $#,##0</t>
        </is>
      </c>
      <c r="C1080" s="533" t="n"/>
      <c r="D1080" s="533" t="n"/>
      <c r="E1080" s="533" t="n"/>
      <c r="F1080" s="533" t="n"/>
      <c r="G1080" s="533" t="n"/>
      <c r="H1080" s="533" t="n"/>
    </row>
    <row r="1081" ht="32" customHeight="1">
      <c r="A1081" s="533" t="inlineStr">
        <is>
          <t>F38</t>
        </is>
      </c>
      <c r="B1081" s="533" t="inlineStr">
        <is>
          <t>Currency, 0 decimals, dollars; unrelated example only: a stored value of 7260.4 displays as 7260 dollars. | Format code: $#,##0</t>
        </is>
      </c>
      <c r="C1081" s="533" t="n"/>
      <c r="D1081" s="533" t="n"/>
      <c r="E1081" s="533" t="n"/>
      <c r="F1081" s="533" t="n"/>
      <c r="G1081" s="533" t="n"/>
      <c r="H1081" s="533" t="n"/>
    </row>
    <row r="1083" ht="36" customHeight="1">
      <c r="A1083" t="inlineStr" s="584">
        <is>
          <t xml:space="preserve">⚠ Most common mistake: Putting the investment inside NPV(): Excel would discount it as if it were paid in year 1. Also: calling B23 a "percent change" (a gap between two probabilities is in percentage points), and dividing by 1000 instead of COUNT().</t>
        </is>
      </c>
    </row>
  </sheetData>
  <mergeCells count="53">
    <mergeCell ref="F20:H20"/>
    <mergeCell ref="D20:E20"/>
    <mergeCell ref="F18:H18"/>
    <mergeCell ref="B1071:H1071"/>
    <mergeCell ref="D19:E19"/>
    <mergeCell ref="B1080:H1080"/>
    <mergeCell ref="B30:H32"/>
    <mergeCell ref="B1070:H1070"/>
    <mergeCell ref="B1065:H1065"/>
    <mergeCell ref="F17:H17"/>
    <mergeCell ref="A1:H1"/>
    <mergeCell ref="B1077:H1077"/>
    <mergeCell ref="D21:E21"/>
    <mergeCell ref="E22:H22"/>
    <mergeCell ref="B1076:H1076"/>
    <mergeCell ref="B1058:H1058"/>
    <mergeCell ref="B1067:H1067"/>
    <mergeCell ref="G38:H38"/>
    <mergeCell ref="A1057:H1057"/>
    <mergeCell ref="B1066:H1066"/>
    <mergeCell ref="B1061:H1061"/>
    <mergeCell ref="C22:D22"/>
    <mergeCell ref="B1073:H1073"/>
    <mergeCell ref="B34:H35"/>
    <mergeCell ref="D17:E17"/>
    <mergeCell ref="B1063:H1063"/>
    <mergeCell ref="B1072:H1072"/>
    <mergeCell ref="B1081:H1081"/>
    <mergeCell ref="A3:H3"/>
    <mergeCell ref="E23:H23"/>
    <mergeCell ref="B1062:H1062"/>
    <mergeCell ref="A2:H2"/>
    <mergeCell ref="B1078:H1078"/>
    <mergeCell ref="B1074:H1074"/>
    <mergeCell ref="B1069:H1069"/>
    <mergeCell ref="B1059:H1059"/>
    <mergeCell ref="A5:H5"/>
    <mergeCell ref="D18:E18"/>
    <mergeCell ref="B1068:H1068"/>
    <mergeCell ref="C23:D23"/>
    <mergeCell ref="B1060:H1060"/>
    <mergeCell ref="A4:H4"/>
    <mergeCell ref="F19:H19"/>
    <mergeCell ref="B1079:H1079"/>
    <mergeCell ref="B1064:H1064"/>
    <mergeCell ref="B1075:H1075"/>
    <mergeCell ref="F21:H21"/>
    <mergeCell ref="B25:H28"/>
    <mergeCell ref="I5:I6"/>
    <mergeCell ref="I25:I28"/>
    <mergeCell ref="I30:I32"/>
    <mergeCell ref="I34:I35"/>
    <mergeCell ref="A1083:H1083"/>
  </mergeCells>
  <printOptions horizontalCentered="1"/>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I100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68" customWidth="1" min="5" max="5"/>
    <col hidden="1" width="13" customWidth="1" min="7" max="7"/>
    <col hidden="1" width="13" customWidth="1" min="8" max="8"/>
    <col hidden="1" width="13" customWidth="1" min="9" max="9"/>
  </cols>
  <sheetData>
    <row r="1" ht="32" customHeight="1">
      <c r="A1" t="inlineStr">
        <is>
          <t>AccountID</t>
        </is>
      </c>
      <c r="B1" t="inlineStr">
        <is>
          <t>Churn</t>
        </is>
      </c>
      <c r="C1" t="inlineStr">
        <is>
          <t>HighTickets</t>
        </is>
      </c>
      <c r="E1" s="37" t="inlineStr">
        <is>
          <t>Shared data: cloudflow_churn_cohort.csv</t>
        </is>
      </c>
      <c r="G1" t="inlineStr">
        <is>
          <t>Eighty percent of high-ticket accounts churn because 80% of churners had high tickets.</t>
        </is>
      </c>
      <c r="H1" t="inlineStr">
        <is>
          <t>Select the Large Hub because the highest possible payoff determines the best decision.</t>
        </is>
      </c>
      <c r="I1" t="inlineStr">
        <is>
          <t>The 5th-percentile profit is the probability that profit is negative.</t>
        </is>
      </c>
    </row>
    <row r="2" ht="32" customHeight="1">
      <c r="A2" t="inlineStr">
        <is>
          <t>CF0001</t>
        </is>
      </c>
      <c r="B2" t="inlineStr">
        <is>
          <t>No</t>
        </is>
      </c>
      <c r="C2" t="inlineStr">
        <is>
          <t>No</t>
        </is>
      </c>
      <c r="E2" s="37" t="inlineStr">
        <is>
          <t>Excel: use the table on this sheet. SPSS: use the supplied .sps import.</t>
        </is>
      </c>
      <c r="G2" t="inlineStr">
        <is>
          <t>High-ticket activity proves that an automated intervention will prevent churn.</t>
        </is>
      </c>
      <c r="H2" t="inlineStr">
        <is>
          <t>Under a risk-neutral EMV criterion, select the Modular Hub, while recognizing that its EMV is not a guaranteed outcome.</t>
        </is>
      </c>
      <c r="I2" t="inlineStr">
        <is>
          <t>The deterministic profit at mean demand must equal the mean simulated profit because mean demand is 1,000 units.</t>
        </is>
      </c>
    </row>
    <row r="3" ht="32" customHeight="1">
      <c r="A3" t="inlineStr">
        <is>
          <t>CF0002</t>
        </is>
      </c>
      <c r="B3" t="inlineStr">
        <is>
          <t>No</t>
        </is>
      </c>
      <c r="C3" t="inlineStr">
        <is>
          <t>No</t>
        </is>
      </c>
      <c r="E3" s="37" t="inlineStr">
        <is>
          <t>Python/R: read the matching CSV with the types and missing rules below.</t>
        </is>
      </c>
      <c r="G3" t="inlineStr">
        <is>
          <t>High-ticket accounts have higher recorded churn risk than the cohort baseline, supporting screening priority but not a causal claim.</t>
        </is>
      </c>
      <c r="H3" t="inlineStr">
        <is>
          <t>The alternatives are equivalent because the demand-state probabilities sum to one.</t>
        </is>
      </c>
      <c r="I3" t="inlineStr">
        <is>
          <t>A larger sample standard deviation guarantees a larger expected profit.</t>
        </is>
      </c>
    </row>
    <row r="4" ht="32" customHeight="1">
      <c r="A4" t="inlineStr">
        <is>
          <t>CF0003</t>
        </is>
      </c>
      <c r="B4" t="inlineStr">
        <is>
          <t>No</t>
        </is>
      </c>
      <c r="C4" t="inlineStr">
        <is>
          <t>No</t>
        </is>
      </c>
      <c r="E4" s="37" t="inlineStr">
        <is>
          <t>AccountID | text | Recorded CloudFlow account identifier preserved with leading zeroes. | units: identifier | missing: blank []</t>
        </is>
      </c>
      <c r="G4" t="inlineStr">
        <is>
          <t>The conditional churn rate uses all 1,000 source accounts as its denominator.</t>
        </is>
      </c>
      <c r="H4" t="inlineStr">
        <is>
          <t>The Modular Hub guarantees a payoff of 5.40 million dollars in each demand state.</t>
        </is>
      </c>
      <c r="I4" t="inlineStr">
        <is>
          <t>Capacity and salvage terms make profit nonlinear, so profit at mean demand can differ from mean simulated profit.</t>
        </is>
      </c>
    </row>
    <row r="5" ht="32" customHeight="1">
      <c r="A5" t="inlineStr">
        <is>
          <t>CF0004</t>
        </is>
      </c>
      <c r="B5" t="inlineStr">
        <is>
          <t>No</t>
        </is>
      </c>
      <c r="C5" t="inlineStr">
        <is>
          <t>No</t>
        </is>
      </c>
      <c r="E5" s="37" t="inlineStr">
        <is>
          <t>Churn | text | Recorded account outcome with allowed nonblank values Yes and No. | units: category | missing: blank []</t>
        </is>
      </c>
    </row>
    <row r="6" ht="42" customHeight="1">
      <c r="A6" t="inlineStr">
        <is>
          <t>CF0005</t>
        </is>
      </c>
      <c r="B6" t="inlineStr">
        <is>
          <t>No</t>
        </is>
      </c>
      <c r="C6" t="inlineStr">
        <is>
          <t>No</t>
        </is>
      </c>
      <c r="E6" s="37" t="inlineStr">
        <is>
          <t>HighTickets | text | Whether the account met the recorded high-ticket indicator, with allowed nonblank values Yes and No. | units: category | missing: blank []</t>
        </is>
      </c>
    </row>
    <row r="7">
      <c r="A7" t="inlineStr">
        <is>
          <t>CF0006</t>
        </is>
      </c>
      <c r="B7" t="inlineStr">
        <is>
          <t>No</t>
        </is>
      </c>
      <c r="C7" t="inlineStr">
        <is>
          <t>No</t>
        </is>
      </c>
    </row>
    <row r="8">
      <c r="A8" t="inlineStr">
        <is>
          <t>CF0007</t>
        </is>
      </c>
      <c r="B8" t="inlineStr">
        <is>
          <t>No</t>
        </is>
      </c>
      <c r="C8" t="inlineStr">
        <is>
          <t>Yes</t>
        </is>
      </c>
    </row>
    <row r="9">
      <c r="A9" t="inlineStr">
        <is>
          <t>CF0008</t>
        </is>
      </c>
      <c r="B9" t="inlineStr">
        <is>
          <t>No</t>
        </is>
      </c>
      <c r="C9" t="inlineStr">
        <is>
          <t>No</t>
        </is>
      </c>
    </row>
    <row r="10">
      <c r="A10" t="inlineStr">
        <is>
          <t>CF0009</t>
        </is>
      </c>
      <c r="B10" t="inlineStr">
        <is>
          <t>No</t>
        </is>
      </c>
      <c r="C10" t="inlineStr">
        <is>
          <t>No</t>
        </is>
      </c>
    </row>
    <row r="11">
      <c r="A11" t="inlineStr">
        <is>
          <t>CF0010</t>
        </is>
      </c>
      <c r="B11" t="inlineStr">
        <is>
          <t>No</t>
        </is>
      </c>
      <c r="C11" t="inlineStr">
        <is>
          <t>Yes</t>
        </is>
      </c>
    </row>
    <row r="12">
      <c r="A12" t="inlineStr">
        <is>
          <t>CF0011</t>
        </is>
      </c>
      <c r="B12" t="inlineStr">
        <is>
          <t>No</t>
        </is>
      </c>
      <c r="C12" t="inlineStr">
        <is>
          <t>No</t>
        </is>
      </c>
    </row>
    <row r="13">
      <c r="A13" t="inlineStr">
        <is>
          <t>CF0012</t>
        </is>
      </c>
      <c r="B13" t="inlineStr">
        <is>
          <t>Yes</t>
        </is>
      </c>
      <c r="C13" t="inlineStr">
        <is>
          <t>Yes</t>
        </is>
      </c>
    </row>
    <row r="14">
      <c r="A14" t="inlineStr">
        <is>
          <t>CF0013</t>
        </is>
      </c>
      <c r="B14" t="inlineStr">
        <is>
          <t>No</t>
        </is>
      </c>
      <c r="C14" t="inlineStr">
        <is>
          <t>Yes</t>
        </is>
      </c>
    </row>
    <row r="15">
      <c r="A15" t="inlineStr">
        <is>
          <t>CF0014</t>
        </is>
      </c>
      <c r="B15" t="inlineStr">
        <is>
          <t>No</t>
        </is>
      </c>
      <c r="C15" t="inlineStr">
        <is>
          <t>No</t>
        </is>
      </c>
    </row>
    <row r="16">
      <c r="A16" t="inlineStr">
        <is>
          <t>CF0015</t>
        </is>
      </c>
      <c r="B16" t="inlineStr">
        <is>
          <t>No</t>
        </is>
      </c>
      <c r="C16" t="inlineStr">
        <is>
          <t>Yes</t>
        </is>
      </c>
    </row>
    <row r="17">
      <c r="A17" t="inlineStr">
        <is>
          <t>CF0016</t>
        </is>
      </c>
      <c r="B17" t="inlineStr">
        <is>
          <t>No</t>
        </is>
      </c>
      <c r="C17" t="inlineStr">
        <is>
          <t>No</t>
        </is>
      </c>
    </row>
    <row r="18">
      <c r="A18" t="inlineStr">
        <is>
          <t>CF0017</t>
        </is>
      </c>
      <c r="B18" t="inlineStr">
        <is>
          <t>No</t>
        </is>
      </c>
      <c r="C18" t="inlineStr">
        <is>
          <t>No</t>
        </is>
      </c>
    </row>
    <row r="19">
      <c r="A19" t="inlineStr">
        <is>
          <t>CF0018</t>
        </is>
      </c>
      <c r="B19" t="inlineStr">
        <is>
          <t>No</t>
        </is>
      </c>
      <c r="C19" t="inlineStr">
        <is>
          <t>Yes</t>
        </is>
      </c>
    </row>
    <row r="20">
      <c r="A20" t="inlineStr">
        <is>
          <t>CF0019</t>
        </is>
      </c>
      <c r="B20" t="inlineStr">
        <is>
          <t>No</t>
        </is>
      </c>
      <c r="C20" t="inlineStr">
        <is>
          <t>No</t>
        </is>
      </c>
    </row>
    <row r="21">
      <c r="A21" t="inlineStr">
        <is>
          <t>CF0020</t>
        </is>
      </c>
      <c r="B21" t="inlineStr">
        <is>
          <t>No</t>
        </is>
      </c>
      <c r="C21" t="inlineStr">
        <is>
          <t>No</t>
        </is>
      </c>
    </row>
    <row r="22">
      <c r="A22" t="inlineStr">
        <is>
          <t>CF0021</t>
        </is>
      </c>
      <c r="B22" t="inlineStr">
        <is>
          <t>No</t>
        </is>
      </c>
      <c r="C22" t="inlineStr">
        <is>
          <t>No</t>
        </is>
      </c>
    </row>
    <row r="23">
      <c r="A23" t="inlineStr">
        <is>
          <t>CF0022</t>
        </is>
      </c>
      <c r="B23" t="inlineStr">
        <is>
          <t>No</t>
        </is>
      </c>
      <c r="C23" t="inlineStr">
        <is>
          <t>No</t>
        </is>
      </c>
    </row>
    <row r="24">
      <c r="A24" t="inlineStr">
        <is>
          <t>CF0023</t>
        </is>
      </c>
      <c r="B24" t="inlineStr">
        <is>
          <t>No</t>
        </is>
      </c>
      <c r="C24" t="inlineStr">
        <is>
          <t>No</t>
        </is>
      </c>
    </row>
    <row r="25">
      <c r="A25" t="inlineStr">
        <is>
          <t>CF0024</t>
        </is>
      </c>
      <c r="B25" t="inlineStr">
        <is>
          <t>No</t>
        </is>
      </c>
      <c r="C25" t="inlineStr">
        <is>
          <t>Yes</t>
        </is>
      </c>
    </row>
    <row r="26">
      <c r="A26" t="inlineStr">
        <is>
          <t>CF0025</t>
        </is>
      </c>
      <c r="B26" t="inlineStr">
        <is>
          <t>No</t>
        </is>
      </c>
      <c r="C26" t="inlineStr">
        <is>
          <t>No</t>
        </is>
      </c>
    </row>
    <row r="27">
      <c r="A27" t="inlineStr">
        <is>
          <t>CF0026</t>
        </is>
      </c>
      <c r="B27" t="inlineStr">
        <is>
          <t>No</t>
        </is>
      </c>
      <c r="C27" t="inlineStr">
        <is>
          <t>Yes</t>
        </is>
      </c>
    </row>
    <row r="28">
      <c r="A28" t="inlineStr">
        <is>
          <t>CF0027</t>
        </is>
      </c>
      <c r="B28" t="inlineStr">
        <is>
          <t>No</t>
        </is>
      </c>
      <c r="C28" t="inlineStr">
        <is>
          <t>No</t>
        </is>
      </c>
    </row>
    <row r="29">
      <c r="A29" t="inlineStr">
        <is>
          <t>CF0028</t>
        </is>
      </c>
      <c r="B29" t="inlineStr">
        <is>
          <t>No</t>
        </is>
      </c>
      <c r="C29" t="inlineStr">
        <is>
          <t>No</t>
        </is>
      </c>
    </row>
    <row r="30">
      <c r="A30" t="inlineStr">
        <is>
          <t>CF0029</t>
        </is>
      </c>
      <c r="B30" t="inlineStr">
        <is>
          <t>Yes</t>
        </is>
      </c>
      <c r="C30" t="inlineStr">
        <is>
          <t>Yes</t>
        </is>
      </c>
    </row>
    <row r="31">
      <c r="A31" t="inlineStr">
        <is>
          <t>CF0030</t>
        </is>
      </c>
      <c r="B31" t="inlineStr">
        <is>
          <t>No</t>
        </is>
      </c>
      <c r="C31" t="inlineStr">
        <is>
          <t>No</t>
        </is>
      </c>
    </row>
    <row r="32">
      <c r="A32" t="inlineStr">
        <is>
          <t>CF0031</t>
        </is>
      </c>
      <c r="B32" t="inlineStr">
        <is>
          <t>No</t>
        </is>
      </c>
      <c r="C32" t="inlineStr">
        <is>
          <t>Yes</t>
        </is>
      </c>
    </row>
    <row r="33">
      <c r="A33" t="inlineStr">
        <is>
          <t>CF0032</t>
        </is>
      </c>
      <c r="B33" t="inlineStr">
        <is>
          <t>No</t>
        </is>
      </c>
      <c r="C33" t="inlineStr">
        <is>
          <t>No</t>
        </is>
      </c>
    </row>
    <row r="34">
      <c r="A34" t="inlineStr">
        <is>
          <t>CF0033</t>
        </is>
      </c>
      <c r="B34" t="inlineStr">
        <is>
          <t>No</t>
        </is>
      </c>
      <c r="C34" t="inlineStr">
        <is>
          <t>Yes</t>
        </is>
      </c>
    </row>
    <row r="35">
      <c r="A35" t="inlineStr">
        <is>
          <t>CF0034</t>
        </is>
      </c>
      <c r="B35" t="inlineStr">
        <is>
          <t>Yes</t>
        </is>
      </c>
      <c r="C35" t="inlineStr">
        <is>
          <t>Yes</t>
        </is>
      </c>
    </row>
    <row r="36">
      <c r="A36" t="inlineStr">
        <is>
          <t>CF0035</t>
        </is>
      </c>
      <c r="B36" t="inlineStr">
        <is>
          <t>No</t>
        </is>
      </c>
      <c r="C36" t="inlineStr">
        <is>
          <t>Yes</t>
        </is>
      </c>
    </row>
    <row r="37">
      <c r="A37" t="inlineStr">
        <is>
          <t>CF0036</t>
        </is>
      </c>
      <c r="B37" t="inlineStr">
        <is>
          <t>No</t>
        </is>
      </c>
      <c r="C37" t="inlineStr">
        <is>
          <t>No</t>
        </is>
      </c>
    </row>
    <row r="38">
      <c r="A38" t="inlineStr">
        <is>
          <t>CF0037</t>
        </is>
      </c>
      <c r="B38" t="inlineStr">
        <is>
          <t>No</t>
        </is>
      </c>
      <c r="C38" t="inlineStr">
        <is>
          <t>No</t>
        </is>
      </c>
    </row>
    <row r="39">
      <c r="A39" t="inlineStr">
        <is>
          <t>CF0038</t>
        </is>
      </c>
      <c r="B39" t="inlineStr">
        <is>
          <t>No</t>
        </is>
      </c>
      <c r="C39" t="inlineStr">
        <is>
          <t>Yes</t>
        </is>
      </c>
    </row>
    <row r="40">
      <c r="A40" t="inlineStr">
        <is>
          <t>CF0039</t>
        </is>
      </c>
      <c r="B40" t="inlineStr">
        <is>
          <t>Yes</t>
        </is>
      </c>
      <c r="C40" t="inlineStr">
        <is>
          <t>Yes</t>
        </is>
      </c>
    </row>
    <row r="41">
      <c r="A41" t="inlineStr">
        <is>
          <t>CF0040</t>
        </is>
      </c>
      <c r="B41" t="inlineStr">
        <is>
          <t>No</t>
        </is>
      </c>
      <c r="C41" t="inlineStr">
        <is>
          <t>Yes</t>
        </is>
      </c>
    </row>
    <row r="42">
      <c r="A42" t="inlineStr">
        <is>
          <t>CF0041</t>
        </is>
      </c>
      <c r="B42" t="inlineStr">
        <is>
          <t>No</t>
        </is>
      </c>
      <c r="C42" t="inlineStr">
        <is>
          <t>No</t>
        </is>
      </c>
    </row>
    <row r="43">
      <c r="A43" t="inlineStr">
        <is>
          <t>CF0042</t>
        </is>
      </c>
      <c r="B43" t="inlineStr">
        <is>
          <t>No</t>
        </is>
      </c>
      <c r="C43" t="inlineStr">
        <is>
          <t>No</t>
        </is>
      </c>
    </row>
    <row r="44">
      <c r="A44" t="inlineStr">
        <is>
          <t>CF0043</t>
        </is>
      </c>
      <c r="B44" t="inlineStr">
        <is>
          <t>No</t>
        </is>
      </c>
      <c r="C44" t="inlineStr">
        <is>
          <t>No</t>
        </is>
      </c>
    </row>
    <row r="45">
      <c r="A45" t="inlineStr">
        <is>
          <t>CF0044</t>
        </is>
      </c>
      <c r="B45" t="inlineStr">
        <is>
          <t>No</t>
        </is>
      </c>
      <c r="C45" t="inlineStr">
        <is>
          <t>No</t>
        </is>
      </c>
    </row>
    <row r="46">
      <c r="A46" t="inlineStr">
        <is>
          <t>CF0045</t>
        </is>
      </c>
      <c r="B46" t="inlineStr">
        <is>
          <t>No</t>
        </is>
      </c>
      <c r="C46" t="inlineStr">
        <is>
          <t>No</t>
        </is>
      </c>
    </row>
    <row r="47">
      <c r="A47" t="inlineStr">
        <is>
          <t>CF0046</t>
        </is>
      </c>
      <c r="B47" t="inlineStr">
        <is>
          <t>No</t>
        </is>
      </c>
      <c r="C47" t="inlineStr">
        <is>
          <t>No</t>
        </is>
      </c>
    </row>
    <row r="48">
      <c r="A48" t="inlineStr">
        <is>
          <t>CF0047</t>
        </is>
      </c>
      <c r="B48" t="inlineStr">
        <is>
          <t>No</t>
        </is>
      </c>
      <c r="C48" t="inlineStr">
        <is>
          <t>Yes</t>
        </is>
      </c>
    </row>
    <row r="49">
      <c r="A49" t="inlineStr">
        <is>
          <t>CF0048</t>
        </is>
      </c>
      <c r="B49" t="inlineStr">
        <is>
          <t>No</t>
        </is>
      </c>
      <c r="C49" t="inlineStr">
        <is>
          <t>No</t>
        </is>
      </c>
    </row>
    <row r="50">
      <c r="A50" t="inlineStr">
        <is>
          <t>CF0049</t>
        </is>
      </c>
      <c r="B50" t="inlineStr">
        <is>
          <t>Yes</t>
        </is>
      </c>
      <c r="C50" t="inlineStr">
        <is>
          <t>Yes</t>
        </is>
      </c>
    </row>
    <row r="51">
      <c r="A51" t="inlineStr">
        <is>
          <t>CF0050</t>
        </is>
      </c>
      <c r="B51" t="inlineStr">
        <is>
          <t>No</t>
        </is>
      </c>
      <c r="C51" t="inlineStr">
        <is>
          <t>No</t>
        </is>
      </c>
    </row>
    <row r="52">
      <c r="A52" t="inlineStr">
        <is>
          <t>CF0051</t>
        </is>
      </c>
      <c r="B52" t="inlineStr">
        <is>
          <t>No</t>
        </is>
      </c>
      <c r="C52" t="inlineStr">
        <is>
          <t>Yes</t>
        </is>
      </c>
    </row>
    <row r="53">
      <c r="A53" t="inlineStr">
        <is>
          <t>CF0052</t>
        </is>
      </c>
      <c r="B53" t="inlineStr">
        <is>
          <t>No</t>
        </is>
      </c>
      <c r="C53" t="inlineStr">
        <is>
          <t>No</t>
        </is>
      </c>
    </row>
    <row r="54">
      <c r="A54" t="inlineStr">
        <is>
          <t>CF0053</t>
        </is>
      </c>
      <c r="B54" t="inlineStr">
        <is>
          <t>No</t>
        </is>
      </c>
      <c r="C54" t="inlineStr">
        <is>
          <t>No</t>
        </is>
      </c>
    </row>
    <row r="55">
      <c r="A55" t="inlineStr">
        <is>
          <t>CF0054</t>
        </is>
      </c>
      <c r="B55" t="inlineStr">
        <is>
          <t>No</t>
        </is>
      </c>
      <c r="C55" t="inlineStr">
        <is>
          <t>Yes</t>
        </is>
      </c>
    </row>
    <row r="56">
      <c r="A56" t="inlineStr">
        <is>
          <t>CF0055</t>
        </is>
      </c>
      <c r="B56" t="inlineStr">
        <is>
          <t>No</t>
        </is>
      </c>
      <c r="C56" t="inlineStr">
        <is>
          <t>No</t>
        </is>
      </c>
    </row>
    <row r="57">
      <c r="A57" t="inlineStr">
        <is>
          <t>CF0056</t>
        </is>
      </c>
      <c r="B57" t="inlineStr">
        <is>
          <t>No</t>
        </is>
      </c>
      <c r="C57" t="inlineStr">
        <is>
          <t>No</t>
        </is>
      </c>
    </row>
    <row r="58">
      <c r="A58" t="inlineStr">
        <is>
          <t>CF0057</t>
        </is>
      </c>
      <c r="B58" t="inlineStr">
        <is>
          <t>No</t>
        </is>
      </c>
      <c r="C58" t="inlineStr">
        <is>
          <t>No</t>
        </is>
      </c>
    </row>
    <row r="59">
      <c r="A59" t="inlineStr">
        <is>
          <t>CF0058</t>
        </is>
      </c>
      <c r="B59" t="inlineStr">
        <is>
          <t>No</t>
        </is>
      </c>
      <c r="C59" t="inlineStr">
        <is>
          <t>Yes</t>
        </is>
      </c>
    </row>
    <row r="60">
      <c r="A60" t="inlineStr">
        <is>
          <t>CF0059</t>
        </is>
      </c>
      <c r="B60" t="inlineStr">
        <is>
          <t>No</t>
        </is>
      </c>
      <c r="C60" t="inlineStr">
        <is>
          <t>No</t>
        </is>
      </c>
    </row>
    <row r="61">
      <c r="A61" t="inlineStr">
        <is>
          <t>CF0060</t>
        </is>
      </c>
      <c r="B61" t="inlineStr">
        <is>
          <t>Yes</t>
        </is>
      </c>
      <c r="C61" t="inlineStr">
        <is>
          <t>Yes</t>
        </is>
      </c>
    </row>
    <row r="62">
      <c r="A62" t="inlineStr">
        <is>
          <t>CF0061</t>
        </is>
      </c>
      <c r="B62" t="inlineStr">
        <is>
          <t>No</t>
        </is>
      </c>
      <c r="C62" t="inlineStr">
        <is>
          <t>No</t>
        </is>
      </c>
    </row>
    <row r="63">
      <c r="A63" t="inlineStr">
        <is>
          <t>CF0062</t>
        </is>
      </c>
      <c r="B63" t="inlineStr">
        <is>
          <t>No</t>
        </is>
      </c>
      <c r="C63" t="inlineStr">
        <is>
          <t>No</t>
        </is>
      </c>
    </row>
    <row r="64">
      <c r="A64" t="inlineStr">
        <is>
          <t>CF0063</t>
        </is>
      </c>
      <c r="B64" t="inlineStr">
        <is>
          <t>No</t>
        </is>
      </c>
      <c r="C64" t="inlineStr">
        <is>
          <t>Yes</t>
        </is>
      </c>
    </row>
    <row r="65">
      <c r="A65" t="inlineStr">
        <is>
          <t>CF0064</t>
        </is>
      </c>
      <c r="B65" t="inlineStr">
        <is>
          <t>Yes</t>
        </is>
      </c>
      <c r="C65" t="inlineStr">
        <is>
          <t>Yes</t>
        </is>
      </c>
    </row>
    <row r="66">
      <c r="A66" t="inlineStr">
        <is>
          <t>CF0065</t>
        </is>
      </c>
      <c r="B66" t="inlineStr">
        <is>
          <t>No</t>
        </is>
      </c>
      <c r="C66" t="inlineStr">
        <is>
          <t>Yes</t>
        </is>
      </c>
    </row>
    <row r="67">
      <c r="A67" t="inlineStr">
        <is>
          <t>CF0066</t>
        </is>
      </c>
      <c r="B67" t="inlineStr">
        <is>
          <t>No</t>
        </is>
      </c>
      <c r="C67" t="inlineStr">
        <is>
          <t>No</t>
        </is>
      </c>
    </row>
    <row r="68">
      <c r="A68" t="inlineStr">
        <is>
          <t>CF0067</t>
        </is>
      </c>
      <c r="B68" t="inlineStr">
        <is>
          <t>No</t>
        </is>
      </c>
      <c r="C68" t="inlineStr">
        <is>
          <t>No</t>
        </is>
      </c>
    </row>
    <row r="69">
      <c r="A69" t="inlineStr">
        <is>
          <t>CF0068</t>
        </is>
      </c>
      <c r="B69" t="inlineStr">
        <is>
          <t>No</t>
        </is>
      </c>
      <c r="C69" t="inlineStr">
        <is>
          <t>No</t>
        </is>
      </c>
    </row>
    <row r="70">
      <c r="A70" t="inlineStr">
        <is>
          <t>CF0069</t>
        </is>
      </c>
      <c r="B70" t="inlineStr">
        <is>
          <t>No</t>
        </is>
      </c>
      <c r="C70" t="inlineStr">
        <is>
          <t>No</t>
        </is>
      </c>
    </row>
    <row r="71">
      <c r="A71" t="inlineStr">
        <is>
          <t>CF0070</t>
        </is>
      </c>
      <c r="B71" t="inlineStr">
        <is>
          <t>No</t>
        </is>
      </c>
      <c r="C71" t="inlineStr">
        <is>
          <t>No</t>
        </is>
      </c>
    </row>
    <row r="72">
      <c r="A72" t="inlineStr">
        <is>
          <t>CF0071</t>
        </is>
      </c>
      <c r="B72" t="inlineStr">
        <is>
          <t>No</t>
        </is>
      </c>
      <c r="C72" t="inlineStr">
        <is>
          <t>No</t>
        </is>
      </c>
    </row>
    <row r="73">
      <c r="A73" t="inlineStr">
        <is>
          <t>CF0072</t>
        </is>
      </c>
      <c r="B73" t="inlineStr">
        <is>
          <t>No</t>
        </is>
      </c>
      <c r="C73" t="inlineStr">
        <is>
          <t>No</t>
        </is>
      </c>
    </row>
    <row r="74">
      <c r="A74" t="inlineStr">
        <is>
          <t>CF0073</t>
        </is>
      </c>
      <c r="B74" t="inlineStr">
        <is>
          <t>No</t>
        </is>
      </c>
      <c r="C74" t="inlineStr">
        <is>
          <t>Yes</t>
        </is>
      </c>
    </row>
    <row r="75">
      <c r="A75" t="inlineStr">
        <is>
          <t>CF0074</t>
        </is>
      </c>
      <c r="B75" t="inlineStr">
        <is>
          <t>No</t>
        </is>
      </c>
      <c r="C75" t="inlineStr">
        <is>
          <t>No</t>
        </is>
      </c>
    </row>
    <row r="76">
      <c r="A76" t="inlineStr">
        <is>
          <t>CF0075</t>
        </is>
      </c>
      <c r="B76" t="inlineStr">
        <is>
          <t>No</t>
        </is>
      </c>
      <c r="C76" t="inlineStr">
        <is>
          <t>Yes</t>
        </is>
      </c>
    </row>
    <row r="77">
      <c r="A77" t="inlineStr">
        <is>
          <t>CF0076</t>
        </is>
      </c>
      <c r="B77" t="inlineStr">
        <is>
          <t>No</t>
        </is>
      </c>
      <c r="C77" t="inlineStr">
        <is>
          <t>No</t>
        </is>
      </c>
    </row>
    <row r="78">
      <c r="A78" t="inlineStr">
        <is>
          <t>CF0077</t>
        </is>
      </c>
      <c r="B78" t="inlineStr">
        <is>
          <t>No</t>
        </is>
      </c>
      <c r="C78" t="inlineStr">
        <is>
          <t>No</t>
        </is>
      </c>
    </row>
    <row r="79">
      <c r="A79" t="inlineStr">
        <is>
          <t>CF0078</t>
        </is>
      </c>
      <c r="B79" t="inlineStr">
        <is>
          <t>No</t>
        </is>
      </c>
      <c r="C79" t="inlineStr">
        <is>
          <t>No</t>
        </is>
      </c>
    </row>
    <row r="80">
      <c r="A80" t="inlineStr">
        <is>
          <t>CF0079</t>
        </is>
      </c>
      <c r="B80" t="inlineStr">
        <is>
          <t>No</t>
        </is>
      </c>
      <c r="C80" t="inlineStr">
        <is>
          <t>No</t>
        </is>
      </c>
    </row>
    <row r="81">
      <c r="A81" t="inlineStr">
        <is>
          <t>CF0080</t>
        </is>
      </c>
      <c r="B81" t="inlineStr">
        <is>
          <t>No</t>
        </is>
      </c>
      <c r="C81" t="inlineStr">
        <is>
          <t>No</t>
        </is>
      </c>
    </row>
    <row r="82">
      <c r="A82" t="inlineStr">
        <is>
          <t>CF0081</t>
        </is>
      </c>
      <c r="B82" t="inlineStr">
        <is>
          <t>No</t>
        </is>
      </c>
      <c r="C82" t="inlineStr">
        <is>
          <t>No</t>
        </is>
      </c>
    </row>
    <row r="83">
      <c r="A83" t="inlineStr">
        <is>
          <t>CF0082</t>
        </is>
      </c>
      <c r="B83" t="inlineStr">
        <is>
          <t>No</t>
        </is>
      </c>
      <c r="C83" t="inlineStr">
        <is>
          <t>No</t>
        </is>
      </c>
    </row>
    <row r="84">
      <c r="A84" t="inlineStr">
        <is>
          <t>CF0083</t>
        </is>
      </c>
      <c r="B84" t="inlineStr">
        <is>
          <t>No</t>
        </is>
      </c>
      <c r="C84" t="inlineStr">
        <is>
          <t>No</t>
        </is>
      </c>
    </row>
    <row r="85">
      <c r="A85" t="inlineStr">
        <is>
          <t>CF0084</t>
        </is>
      </c>
      <c r="B85" t="inlineStr">
        <is>
          <t>No</t>
        </is>
      </c>
      <c r="C85" t="inlineStr">
        <is>
          <t>No</t>
        </is>
      </c>
    </row>
    <row r="86">
      <c r="A86" t="inlineStr">
        <is>
          <t>CF0085</t>
        </is>
      </c>
      <c r="B86" t="inlineStr">
        <is>
          <t>No</t>
        </is>
      </c>
      <c r="C86" t="inlineStr">
        <is>
          <t>No</t>
        </is>
      </c>
    </row>
    <row r="87">
      <c r="A87" t="inlineStr">
        <is>
          <t>CF0086</t>
        </is>
      </c>
      <c r="B87" t="inlineStr">
        <is>
          <t>No</t>
        </is>
      </c>
      <c r="C87" t="inlineStr">
        <is>
          <t>No</t>
        </is>
      </c>
    </row>
    <row r="88">
      <c r="A88" t="inlineStr">
        <is>
          <t>CF0087</t>
        </is>
      </c>
      <c r="B88" t="inlineStr">
        <is>
          <t>No</t>
        </is>
      </c>
      <c r="C88" t="inlineStr">
        <is>
          <t>No</t>
        </is>
      </c>
    </row>
    <row r="89">
      <c r="A89" t="inlineStr">
        <is>
          <t>CF0088</t>
        </is>
      </c>
      <c r="B89" t="inlineStr">
        <is>
          <t>Yes</t>
        </is>
      </c>
      <c r="C89" t="inlineStr">
        <is>
          <t>Yes</t>
        </is>
      </c>
    </row>
    <row r="90">
      <c r="A90" t="inlineStr">
        <is>
          <t>CF0089</t>
        </is>
      </c>
      <c r="B90" t="inlineStr">
        <is>
          <t>No</t>
        </is>
      </c>
      <c r="C90" t="inlineStr">
        <is>
          <t>No</t>
        </is>
      </c>
    </row>
    <row r="91">
      <c r="A91" t="inlineStr">
        <is>
          <t>CF0090</t>
        </is>
      </c>
      <c r="B91" t="inlineStr">
        <is>
          <t>No</t>
        </is>
      </c>
      <c r="C91" t="inlineStr">
        <is>
          <t>No</t>
        </is>
      </c>
    </row>
    <row r="92">
      <c r="A92" t="inlineStr">
        <is>
          <t>CF0091</t>
        </is>
      </c>
      <c r="B92" t="inlineStr">
        <is>
          <t>No</t>
        </is>
      </c>
      <c r="C92" t="inlineStr">
        <is>
          <t>No</t>
        </is>
      </c>
    </row>
    <row r="93">
      <c r="A93" t="inlineStr">
        <is>
          <t>CF0092</t>
        </is>
      </c>
      <c r="B93" t="inlineStr">
        <is>
          <t>No</t>
        </is>
      </c>
      <c r="C93" t="inlineStr">
        <is>
          <t>No</t>
        </is>
      </c>
    </row>
    <row r="94">
      <c r="A94" t="inlineStr">
        <is>
          <t>CF0093</t>
        </is>
      </c>
      <c r="B94" t="inlineStr">
        <is>
          <t>No</t>
        </is>
      </c>
      <c r="C94" t="inlineStr">
        <is>
          <t>No</t>
        </is>
      </c>
    </row>
    <row r="95">
      <c r="A95" t="inlineStr">
        <is>
          <t>CF0094</t>
        </is>
      </c>
      <c r="B95" t="inlineStr">
        <is>
          <t>No</t>
        </is>
      </c>
      <c r="C95" t="inlineStr">
        <is>
          <t>No</t>
        </is>
      </c>
    </row>
    <row r="96">
      <c r="A96" t="inlineStr">
        <is>
          <t>CF0095</t>
        </is>
      </c>
      <c r="B96" t="inlineStr">
        <is>
          <t>Yes</t>
        </is>
      </c>
      <c r="C96" t="inlineStr">
        <is>
          <t>Yes</t>
        </is>
      </c>
    </row>
    <row r="97">
      <c r="A97" t="inlineStr">
        <is>
          <t>CF0096</t>
        </is>
      </c>
      <c r="B97" t="inlineStr">
        <is>
          <t>No</t>
        </is>
      </c>
      <c r="C97" t="inlineStr">
        <is>
          <t>No</t>
        </is>
      </c>
    </row>
    <row r="98">
      <c r="A98" t="inlineStr">
        <is>
          <t>CF0097</t>
        </is>
      </c>
      <c r="B98" t="inlineStr">
        <is>
          <t>No</t>
        </is>
      </c>
      <c r="C98" t="inlineStr">
        <is>
          <t>No</t>
        </is>
      </c>
    </row>
    <row r="99">
      <c r="A99" t="inlineStr">
        <is>
          <t>CF0098</t>
        </is>
      </c>
      <c r="B99" t="inlineStr">
        <is>
          <t>No</t>
        </is>
      </c>
      <c r="C99" t="inlineStr">
        <is>
          <t>No</t>
        </is>
      </c>
    </row>
    <row r="100">
      <c r="A100" t="inlineStr">
        <is>
          <t>CF0099</t>
        </is>
      </c>
      <c r="B100" t="inlineStr">
        <is>
          <t>No</t>
        </is>
      </c>
      <c r="C100" t="inlineStr">
        <is>
          <t>Yes</t>
        </is>
      </c>
    </row>
    <row r="101">
      <c r="A101" t="inlineStr">
        <is>
          <t>CF0100</t>
        </is>
      </c>
      <c r="B101" t="inlineStr">
        <is>
          <t>No</t>
        </is>
      </c>
      <c r="C101" t="inlineStr">
        <is>
          <t>No</t>
        </is>
      </c>
    </row>
    <row r="102">
      <c r="A102" t="inlineStr">
        <is>
          <t>CF0101</t>
        </is>
      </c>
      <c r="B102" t="inlineStr">
        <is>
          <t>Yes</t>
        </is>
      </c>
      <c r="C102" t="inlineStr">
        <is>
          <t>No</t>
        </is>
      </c>
    </row>
    <row r="103">
      <c r="A103" t="inlineStr">
        <is>
          <t>CF0102</t>
        </is>
      </c>
      <c r="B103" t="inlineStr">
        <is>
          <t>No</t>
        </is>
      </c>
      <c r="C103" t="inlineStr">
        <is>
          <t>No</t>
        </is>
      </c>
    </row>
    <row r="104">
      <c r="A104" t="inlineStr">
        <is>
          <t>CF0103</t>
        </is>
      </c>
      <c r="B104" t="inlineStr">
        <is>
          <t>No</t>
        </is>
      </c>
      <c r="C104" t="inlineStr">
        <is>
          <t>No</t>
        </is>
      </c>
    </row>
    <row r="105">
      <c r="A105" t="inlineStr">
        <is>
          <t>CF0104</t>
        </is>
      </c>
      <c r="B105" t="inlineStr">
        <is>
          <t>Yes</t>
        </is>
      </c>
      <c r="C105" t="inlineStr">
        <is>
          <t>No</t>
        </is>
      </c>
    </row>
    <row r="106">
      <c r="A106" t="inlineStr">
        <is>
          <t>CF0105</t>
        </is>
      </c>
      <c r="B106" t="inlineStr">
        <is>
          <t>No</t>
        </is>
      </c>
      <c r="C106" t="inlineStr">
        <is>
          <t>No</t>
        </is>
      </c>
    </row>
    <row r="107">
      <c r="A107" t="inlineStr">
        <is>
          <t>CF0106</t>
        </is>
      </c>
      <c r="B107" t="inlineStr">
        <is>
          <t>No</t>
        </is>
      </c>
      <c r="C107" t="inlineStr">
        <is>
          <t>No</t>
        </is>
      </c>
    </row>
    <row r="108">
      <c r="A108" t="inlineStr">
        <is>
          <t>CF0107</t>
        </is>
      </c>
      <c r="B108" t="inlineStr">
        <is>
          <t>No</t>
        </is>
      </c>
      <c r="C108" t="inlineStr">
        <is>
          <t>No</t>
        </is>
      </c>
    </row>
    <row r="109">
      <c r="A109" t="inlineStr">
        <is>
          <t>CF0108</t>
        </is>
      </c>
      <c r="B109" t="inlineStr">
        <is>
          <t>No</t>
        </is>
      </c>
      <c r="C109" t="inlineStr">
        <is>
          <t>No</t>
        </is>
      </c>
    </row>
    <row r="110">
      <c r="A110" t="inlineStr">
        <is>
          <t>CF0109</t>
        </is>
      </c>
      <c r="B110" t="inlineStr">
        <is>
          <t>No</t>
        </is>
      </c>
      <c r="C110" t="inlineStr">
        <is>
          <t>Yes</t>
        </is>
      </c>
    </row>
    <row r="111">
      <c r="A111" t="inlineStr">
        <is>
          <t>CF0110</t>
        </is>
      </c>
      <c r="B111" t="inlineStr">
        <is>
          <t>No</t>
        </is>
      </c>
      <c r="C111" t="inlineStr">
        <is>
          <t>No</t>
        </is>
      </c>
    </row>
    <row r="112">
      <c r="A112" t="inlineStr">
        <is>
          <t>CF0111</t>
        </is>
      </c>
      <c r="B112" t="inlineStr">
        <is>
          <t>No</t>
        </is>
      </c>
      <c r="C112" t="inlineStr">
        <is>
          <t>Yes</t>
        </is>
      </c>
    </row>
    <row r="113">
      <c r="A113" t="inlineStr">
        <is>
          <t>CF0112</t>
        </is>
      </c>
      <c r="B113" t="inlineStr">
        <is>
          <t>No</t>
        </is>
      </c>
      <c r="C113" t="inlineStr">
        <is>
          <t>No</t>
        </is>
      </c>
    </row>
    <row r="114">
      <c r="A114" t="inlineStr">
        <is>
          <t>CF0113</t>
        </is>
      </c>
      <c r="B114" t="inlineStr">
        <is>
          <t>No</t>
        </is>
      </c>
      <c r="C114" t="inlineStr">
        <is>
          <t>No</t>
        </is>
      </c>
    </row>
    <row r="115">
      <c r="A115" t="inlineStr">
        <is>
          <t>CF0114</t>
        </is>
      </c>
      <c r="B115" t="inlineStr">
        <is>
          <t>No</t>
        </is>
      </c>
      <c r="C115" t="inlineStr">
        <is>
          <t>No</t>
        </is>
      </c>
    </row>
    <row r="116">
      <c r="A116" t="inlineStr">
        <is>
          <t>CF0115</t>
        </is>
      </c>
      <c r="B116" t="inlineStr">
        <is>
          <t>No</t>
        </is>
      </c>
      <c r="C116" t="inlineStr">
        <is>
          <t>No</t>
        </is>
      </c>
    </row>
    <row r="117">
      <c r="A117" t="inlineStr">
        <is>
          <t>CF0116</t>
        </is>
      </c>
      <c r="B117" t="inlineStr">
        <is>
          <t>No</t>
        </is>
      </c>
      <c r="C117" t="inlineStr">
        <is>
          <t>No</t>
        </is>
      </c>
    </row>
    <row r="118">
      <c r="A118" t="inlineStr">
        <is>
          <t>CF0117</t>
        </is>
      </c>
      <c r="B118" t="inlineStr">
        <is>
          <t>No</t>
        </is>
      </c>
      <c r="C118" t="inlineStr">
        <is>
          <t>No</t>
        </is>
      </c>
    </row>
    <row r="119">
      <c r="A119" t="inlineStr">
        <is>
          <t>CF0118</t>
        </is>
      </c>
      <c r="B119" t="inlineStr">
        <is>
          <t>No</t>
        </is>
      </c>
      <c r="C119" t="inlineStr">
        <is>
          <t>No</t>
        </is>
      </c>
    </row>
    <row r="120">
      <c r="A120" t="inlineStr">
        <is>
          <t>CF0119</t>
        </is>
      </c>
      <c r="B120" t="inlineStr">
        <is>
          <t>No</t>
        </is>
      </c>
      <c r="C120" t="inlineStr">
        <is>
          <t>No</t>
        </is>
      </c>
    </row>
    <row r="121">
      <c r="A121" t="inlineStr">
        <is>
          <t>CF0120</t>
        </is>
      </c>
      <c r="B121" t="inlineStr">
        <is>
          <t>No</t>
        </is>
      </c>
      <c r="C121" t="inlineStr">
        <is>
          <t>No</t>
        </is>
      </c>
    </row>
    <row r="122">
      <c r="A122" t="inlineStr">
        <is>
          <t>CF0121</t>
        </is>
      </c>
      <c r="B122" t="inlineStr">
        <is>
          <t>No</t>
        </is>
      </c>
      <c r="C122" t="inlineStr">
        <is>
          <t>Yes</t>
        </is>
      </c>
    </row>
    <row r="123">
      <c r="A123" t="inlineStr">
        <is>
          <t>CF0122</t>
        </is>
      </c>
      <c r="B123" t="inlineStr">
        <is>
          <t>No</t>
        </is>
      </c>
      <c r="C123" t="inlineStr">
        <is>
          <t>Yes</t>
        </is>
      </c>
    </row>
    <row r="124">
      <c r="A124" t="inlineStr">
        <is>
          <t>CF0123</t>
        </is>
      </c>
      <c r="B124" t="inlineStr">
        <is>
          <t>No</t>
        </is>
      </c>
      <c r="C124" t="inlineStr">
        <is>
          <t>No</t>
        </is>
      </c>
    </row>
    <row r="125">
      <c r="A125" t="inlineStr">
        <is>
          <t>CF0124</t>
        </is>
      </c>
      <c r="B125" t="inlineStr">
        <is>
          <t>Yes</t>
        </is>
      </c>
      <c r="C125" t="inlineStr">
        <is>
          <t>No</t>
        </is>
      </c>
    </row>
    <row r="126">
      <c r="A126" t="inlineStr">
        <is>
          <t>CF0125</t>
        </is>
      </c>
      <c r="B126" t="inlineStr">
        <is>
          <t>No</t>
        </is>
      </c>
      <c r="C126" t="inlineStr">
        <is>
          <t>No</t>
        </is>
      </c>
    </row>
    <row r="127">
      <c r="A127" t="inlineStr">
        <is>
          <t>CF0126</t>
        </is>
      </c>
      <c r="B127" t="inlineStr">
        <is>
          <t>No</t>
        </is>
      </c>
      <c r="C127" t="inlineStr">
        <is>
          <t>No</t>
        </is>
      </c>
    </row>
    <row r="128">
      <c r="A128" t="inlineStr">
        <is>
          <t>CF0127</t>
        </is>
      </c>
      <c r="B128" t="inlineStr">
        <is>
          <t>No</t>
        </is>
      </c>
      <c r="C128" t="inlineStr">
        <is>
          <t>No</t>
        </is>
      </c>
    </row>
    <row r="129">
      <c r="A129" t="inlineStr">
        <is>
          <t>CF0128</t>
        </is>
      </c>
      <c r="B129" t="inlineStr">
        <is>
          <t>No</t>
        </is>
      </c>
      <c r="C129" t="inlineStr">
        <is>
          <t>No</t>
        </is>
      </c>
    </row>
    <row r="130">
      <c r="A130" t="inlineStr">
        <is>
          <t>CF0129</t>
        </is>
      </c>
      <c r="B130" t="inlineStr">
        <is>
          <t>No</t>
        </is>
      </c>
      <c r="C130" t="inlineStr">
        <is>
          <t>Yes</t>
        </is>
      </c>
    </row>
    <row r="131">
      <c r="A131" t="inlineStr">
        <is>
          <t>CF0130</t>
        </is>
      </c>
      <c r="B131" t="inlineStr">
        <is>
          <t>No</t>
        </is>
      </c>
      <c r="C131" t="inlineStr">
        <is>
          <t>No</t>
        </is>
      </c>
    </row>
    <row r="132">
      <c r="A132" t="inlineStr">
        <is>
          <t>CF0131</t>
        </is>
      </c>
      <c r="B132" t="inlineStr">
        <is>
          <t>No</t>
        </is>
      </c>
      <c r="C132" t="inlineStr">
        <is>
          <t>No</t>
        </is>
      </c>
    </row>
    <row r="133">
      <c r="A133" t="inlineStr">
        <is>
          <t>CF0132</t>
        </is>
      </c>
      <c r="B133" t="inlineStr">
        <is>
          <t>No</t>
        </is>
      </c>
      <c r="C133" t="inlineStr">
        <is>
          <t>Yes</t>
        </is>
      </c>
    </row>
    <row r="134">
      <c r="A134" t="inlineStr">
        <is>
          <t>CF0133</t>
        </is>
      </c>
      <c r="B134" t="inlineStr">
        <is>
          <t>No</t>
        </is>
      </c>
      <c r="C134" t="inlineStr">
        <is>
          <t>No</t>
        </is>
      </c>
    </row>
    <row r="135">
      <c r="A135" t="inlineStr">
        <is>
          <t>CF0134</t>
        </is>
      </c>
      <c r="B135" t="inlineStr">
        <is>
          <t>No</t>
        </is>
      </c>
      <c r="C135" t="inlineStr">
        <is>
          <t>No</t>
        </is>
      </c>
    </row>
    <row r="136">
      <c r="A136" t="inlineStr">
        <is>
          <t>CF0135</t>
        </is>
      </c>
      <c r="B136" t="inlineStr">
        <is>
          <t>No</t>
        </is>
      </c>
      <c r="C136" t="inlineStr">
        <is>
          <t>No</t>
        </is>
      </c>
    </row>
    <row r="137">
      <c r="A137" t="inlineStr">
        <is>
          <t>CF0136</t>
        </is>
      </c>
      <c r="B137" t="inlineStr">
        <is>
          <t>No</t>
        </is>
      </c>
      <c r="C137" t="inlineStr">
        <is>
          <t>Yes</t>
        </is>
      </c>
    </row>
    <row r="138">
      <c r="A138" t="inlineStr">
        <is>
          <t>CF0137</t>
        </is>
      </c>
      <c r="B138" t="inlineStr">
        <is>
          <t>No</t>
        </is>
      </c>
      <c r="C138" t="inlineStr">
        <is>
          <t>No</t>
        </is>
      </c>
    </row>
    <row r="139">
      <c r="A139" t="inlineStr">
        <is>
          <t>CF0138</t>
        </is>
      </c>
      <c r="B139" t="inlineStr">
        <is>
          <t>No</t>
        </is>
      </c>
      <c r="C139" t="inlineStr">
        <is>
          <t>Yes</t>
        </is>
      </c>
    </row>
    <row r="140">
      <c r="A140" t="inlineStr">
        <is>
          <t>CF0139</t>
        </is>
      </c>
      <c r="B140" t="inlineStr">
        <is>
          <t>No</t>
        </is>
      </c>
      <c r="C140" t="inlineStr">
        <is>
          <t>No</t>
        </is>
      </c>
    </row>
    <row r="141">
      <c r="A141" t="inlineStr">
        <is>
          <t>CF0140</t>
        </is>
      </c>
      <c r="B141" t="inlineStr">
        <is>
          <t>No</t>
        </is>
      </c>
      <c r="C141" t="inlineStr">
        <is>
          <t>No</t>
        </is>
      </c>
    </row>
    <row r="142">
      <c r="A142" t="inlineStr">
        <is>
          <t>CF0141</t>
        </is>
      </c>
      <c r="B142" t="inlineStr">
        <is>
          <t>No</t>
        </is>
      </c>
      <c r="C142" t="inlineStr">
        <is>
          <t>No</t>
        </is>
      </c>
    </row>
    <row r="143">
      <c r="A143" t="inlineStr">
        <is>
          <t>CF0142</t>
        </is>
      </c>
      <c r="B143" t="inlineStr">
        <is>
          <t>Yes</t>
        </is>
      </c>
      <c r="C143" t="inlineStr">
        <is>
          <t>Yes</t>
        </is>
      </c>
    </row>
    <row r="144">
      <c r="A144" t="inlineStr">
        <is>
          <t>CF0143</t>
        </is>
      </c>
      <c r="B144" t="inlineStr">
        <is>
          <t>No</t>
        </is>
      </c>
      <c r="C144" t="inlineStr">
        <is>
          <t>No</t>
        </is>
      </c>
    </row>
    <row r="145">
      <c r="A145" t="inlineStr">
        <is>
          <t>CF0144</t>
        </is>
      </c>
      <c r="B145" t="inlineStr">
        <is>
          <t>No</t>
        </is>
      </c>
      <c r="C145" t="inlineStr">
        <is>
          <t>No</t>
        </is>
      </c>
    </row>
    <row r="146">
      <c r="A146" t="inlineStr">
        <is>
          <t>CF0145</t>
        </is>
      </c>
      <c r="B146" t="inlineStr">
        <is>
          <t>No</t>
        </is>
      </c>
      <c r="C146" t="inlineStr">
        <is>
          <t>No</t>
        </is>
      </c>
    </row>
    <row r="147">
      <c r="A147" t="inlineStr">
        <is>
          <t>CF0146</t>
        </is>
      </c>
      <c r="B147" t="inlineStr">
        <is>
          <t>No</t>
        </is>
      </c>
      <c r="C147" t="inlineStr">
        <is>
          <t>No</t>
        </is>
      </c>
    </row>
    <row r="148">
      <c r="A148" t="inlineStr">
        <is>
          <t>CF0147</t>
        </is>
      </c>
      <c r="B148" t="inlineStr">
        <is>
          <t>No</t>
        </is>
      </c>
      <c r="C148" t="inlineStr">
        <is>
          <t>No</t>
        </is>
      </c>
    </row>
    <row r="149">
      <c r="A149" t="inlineStr">
        <is>
          <t>CF0148</t>
        </is>
      </c>
      <c r="B149" t="inlineStr">
        <is>
          <t>No</t>
        </is>
      </c>
      <c r="C149" t="inlineStr">
        <is>
          <t>No</t>
        </is>
      </c>
    </row>
    <row r="150">
      <c r="A150" t="inlineStr">
        <is>
          <t>CF0149</t>
        </is>
      </c>
      <c r="B150" t="inlineStr">
        <is>
          <t>No</t>
        </is>
      </c>
      <c r="C150" t="inlineStr">
        <is>
          <t>No</t>
        </is>
      </c>
    </row>
    <row r="151">
      <c r="A151" t="inlineStr">
        <is>
          <t>CF0150</t>
        </is>
      </c>
      <c r="B151" t="inlineStr">
        <is>
          <t>No</t>
        </is>
      </c>
      <c r="C151" t="inlineStr">
        <is>
          <t>No</t>
        </is>
      </c>
    </row>
    <row r="152">
      <c r="A152" t="inlineStr">
        <is>
          <t>CF0151</t>
        </is>
      </c>
      <c r="B152" t="inlineStr">
        <is>
          <t>No</t>
        </is>
      </c>
      <c r="C152" t="inlineStr">
        <is>
          <t>No</t>
        </is>
      </c>
    </row>
    <row r="153">
      <c r="A153" t="inlineStr">
        <is>
          <t>CF0152</t>
        </is>
      </c>
      <c r="B153" t="inlineStr">
        <is>
          <t>No</t>
        </is>
      </c>
      <c r="C153" t="inlineStr">
        <is>
          <t>No</t>
        </is>
      </c>
    </row>
    <row r="154">
      <c r="A154" t="inlineStr">
        <is>
          <t>CF0153</t>
        </is>
      </c>
      <c r="B154" t="inlineStr">
        <is>
          <t>No</t>
        </is>
      </c>
      <c r="C154" t="inlineStr">
        <is>
          <t>Yes</t>
        </is>
      </c>
    </row>
    <row r="155">
      <c r="A155" t="inlineStr">
        <is>
          <t>CF0154</t>
        </is>
      </c>
      <c r="B155" t="inlineStr">
        <is>
          <t>No</t>
        </is>
      </c>
      <c r="C155" t="inlineStr">
        <is>
          <t>No</t>
        </is>
      </c>
    </row>
    <row r="156">
      <c r="A156" t="inlineStr">
        <is>
          <t>CF0155</t>
        </is>
      </c>
      <c r="B156" t="inlineStr">
        <is>
          <t>Yes</t>
        </is>
      </c>
      <c r="C156" t="inlineStr">
        <is>
          <t>Yes</t>
        </is>
      </c>
    </row>
    <row r="157">
      <c r="A157" t="inlineStr">
        <is>
          <t>CF0156</t>
        </is>
      </c>
      <c r="B157" t="inlineStr">
        <is>
          <t>No</t>
        </is>
      </c>
      <c r="C157" t="inlineStr">
        <is>
          <t>No</t>
        </is>
      </c>
    </row>
    <row r="158">
      <c r="A158" t="inlineStr">
        <is>
          <t>CF0157</t>
        </is>
      </c>
      <c r="B158" t="inlineStr">
        <is>
          <t>No</t>
        </is>
      </c>
      <c r="C158" t="inlineStr">
        <is>
          <t>No</t>
        </is>
      </c>
    </row>
    <row r="159">
      <c r="A159" t="inlineStr">
        <is>
          <t>CF0158</t>
        </is>
      </c>
      <c r="B159" t="inlineStr">
        <is>
          <t>No</t>
        </is>
      </c>
      <c r="C159" t="inlineStr">
        <is>
          <t>Yes</t>
        </is>
      </c>
    </row>
    <row r="160">
      <c r="A160" t="inlineStr">
        <is>
          <t>CF0159</t>
        </is>
      </c>
      <c r="B160" t="inlineStr">
        <is>
          <t>No</t>
        </is>
      </c>
      <c r="C160" t="inlineStr">
        <is>
          <t>No</t>
        </is>
      </c>
    </row>
    <row r="161">
      <c r="A161" t="inlineStr">
        <is>
          <t>CF0160</t>
        </is>
      </c>
      <c r="B161" t="inlineStr">
        <is>
          <t>No</t>
        </is>
      </c>
      <c r="C161" t="inlineStr">
        <is>
          <t>No</t>
        </is>
      </c>
    </row>
    <row r="162">
      <c r="A162" t="inlineStr">
        <is>
          <t>CF0161</t>
        </is>
      </c>
      <c r="B162" t="inlineStr">
        <is>
          <t>No</t>
        </is>
      </c>
      <c r="C162" t="inlineStr">
        <is>
          <t>Yes</t>
        </is>
      </c>
    </row>
    <row r="163">
      <c r="A163" t="inlineStr">
        <is>
          <t>CF0162</t>
        </is>
      </c>
      <c r="B163" t="inlineStr">
        <is>
          <t>No</t>
        </is>
      </c>
      <c r="C163" t="inlineStr">
        <is>
          <t>No</t>
        </is>
      </c>
    </row>
    <row r="164">
      <c r="A164" t="inlineStr">
        <is>
          <t>CF0163</t>
        </is>
      </c>
      <c r="B164" t="inlineStr">
        <is>
          <t>No</t>
        </is>
      </c>
      <c r="C164" t="inlineStr">
        <is>
          <t>No</t>
        </is>
      </c>
    </row>
    <row r="165">
      <c r="A165" t="inlineStr">
        <is>
          <t>CF0164</t>
        </is>
      </c>
      <c r="B165" t="inlineStr">
        <is>
          <t>No</t>
        </is>
      </c>
      <c r="C165" t="inlineStr">
        <is>
          <t>Yes</t>
        </is>
      </c>
    </row>
    <row r="166">
      <c r="A166" t="inlineStr">
        <is>
          <t>CF0165</t>
        </is>
      </c>
      <c r="B166" t="inlineStr">
        <is>
          <t>Yes</t>
        </is>
      </c>
      <c r="C166" t="inlineStr">
        <is>
          <t>Yes</t>
        </is>
      </c>
    </row>
    <row r="167">
      <c r="A167" t="inlineStr">
        <is>
          <t>CF0166</t>
        </is>
      </c>
      <c r="B167" t="inlineStr">
        <is>
          <t>No</t>
        </is>
      </c>
      <c r="C167" t="inlineStr">
        <is>
          <t>No</t>
        </is>
      </c>
    </row>
    <row r="168">
      <c r="A168" t="inlineStr">
        <is>
          <t>CF0167</t>
        </is>
      </c>
      <c r="B168" t="inlineStr">
        <is>
          <t>No</t>
        </is>
      </c>
      <c r="C168" t="inlineStr">
        <is>
          <t>No</t>
        </is>
      </c>
    </row>
    <row r="169">
      <c r="A169" t="inlineStr">
        <is>
          <t>CF0168</t>
        </is>
      </c>
      <c r="B169" t="inlineStr">
        <is>
          <t>No</t>
        </is>
      </c>
      <c r="C169" t="inlineStr">
        <is>
          <t>No</t>
        </is>
      </c>
    </row>
    <row r="170">
      <c r="A170" t="inlineStr">
        <is>
          <t>CF0169</t>
        </is>
      </c>
      <c r="B170" t="inlineStr">
        <is>
          <t>No</t>
        </is>
      </c>
      <c r="C170" t="inlineStr">
        <is>
          <t>Yes</t>
        </is>
      </c>
    </row>
    <row r="171">
      <c r="A171" t="inlineStr">
        <is>
          <t>CF0170</t>
        </is>
      </c>
      <c r="B171" t="inlineStr">
        <is>
          <t>No</t>
        </is>
      </c>
      <c r="C171" t="inlineStr">
        <is>
          <t>No</t>
        </is>
      </c>
    </row>
    <row r="172">
      <c r="A172" t="inlineStr">
        <is>
          <t>CF0171</t>
        </is>
      </c>
      <c r="B172" t="inlineStr">
        <is>
          <t>No</t>
        </is>
      </c>
      <c r="C172" t="inlineStr">
        <is>
          <t>No</t>
        </is>
      </c>
    </row>
    <row r="173">
      <c r="A173" t="inlineStr">
        <is>
          <t>CF0172</t>
        </is>
      </c>
      <c r="B173" t="inlineStr">
        <is>
          <t>No</t>
        </is>
      </c>
      <c r="C173" t="inlineStr">
        <is>
          <t>No</t>
        </is>
      </c>
    </row>
    <row r="174">
      <c r="A174" t="inlineStr">
        <is>
          <t>CF0173</t>
        </is>
      </c>
      <c r="B174" t="inlineStr">
        <is>
          <t>No</t>
        </is>
      </c>
      <c r="C174" t="inlineStr">
        <is>
          <t>No</t>
        </is>
      </c>
    </row>
    <row r="175">
      <c r="A175" t="inlineStr">
        <is>
          <t>CF0174</t>
        </is>
      </c>
      <c r="B175" t="inlineStr">
        <is>
          <t>No</t>
        </is>
      </c>
      <c r="C175" t="inlineStr">
        <is>
          <t>No</t>
        </is>
      </c>
    </row>
    <row r="176">
      <c r="A176" t="inlineStr">
        <is>
          <t>CF0175</t>
        </is>
      </c>
      <c r="B176" t="inlineStr">
        <is>
          <t>No</t>
        </is>
      </c>
      <c r="C176" t="inlineStr">
        <is>
          <t>Yes</t>
        </is>
      </c>
    </row>
    <row r="177">
      <c r="A177" t="inlineStr">
        <is>
          <t>CF0176</t>
        </is>
      </c>
      <c r="B177" t="inlineStr">
        <is>
          <t>Yes</t>
        </is>
      </c>
      <c r="C177" t="inlineStr">
        <is>
          <t>Yes</t>
        </is>
      </c>
    </row>
    <row r="178">
      <c r="A178" t="inlineStr">
        <is>
          <t>CF0177</t>
        </is>
      </c>
      <c r="B178" t="inlineStr">
        <is>
          <t>No</t>
        </is>
      </c>
      <c r="C178" t="inlineStr">
        <is>
          <t>No</t>
        </is>
      </c>
    </row>
    <row r="179">
      <c r="A179" t="inlineStr">
        <is>
          <t>CF0178</t>
        </is>
      </c>
      <c r="B179" t="inlineStr">
        <is>
          <t>No</t>
        </is>
      </c>
      <c r="C179" t="inlineStr">
        <is>
          <t>No</t>
        </is>
      </c>
    </row>
    <row r="180">
      <c r="A180" t="inlineStr">
        <is>
          <t>CF0179</t>
        </is>
      </c>
      <c r="B180" t="inlineStr">
        <is>
          <t>No</t>
        </is>
      </c>
      <c r="C180" t="inlineStr">
        <is>
          <t>No</t>
        </is>
      </c>
    </row>
    <row r="181">
      <c r="A181" t="inlineStr">
        <is>
          <t>CF0180</t>
        </is>
      </c>
      <c r="B181" t="inlineStr">
        <is>
          <t>No</t>
        </is>
      </c>
      <c r="C181" t="inlineStr">
        <is>
          <t>Yes</t>
        </is>
      </c>
    </row>
    <row r="182">
      <c r="A182" t="inlineStr">
        <is>
          <t>CF0181</t>
        </is>
      </c>
      <c r="B182" t="inlineStr">
        <is>
          <t>No</t>
        </is>
      </c>
      <c r="C182" t="inlineStr">
        <is>
          <t>No</t>
        </is>
      </c>
    </row>
    <row r="183">
      <c r="A183" t="inlineStr">
        <is>
          <t>CF0182</t>
        </is>
      </c>
      <c r="B183" t="inlineStr">
        <is>
          <t>No</t>
        </is>
      </c>
      <c r="C183" t="inlineStr">
        <is>
          <t>No</t>
        </is>
      </c>
    </row>
    <row r="184">
      <c r="A184" t="inlineStr">
        <is>
          <t>CF0183</t>
        </is>
      </c>
      <c r="B184" t="inlineStr">
        <is>
          <t>No</t>
        </is>
      </c>
      <c r="C184" t="inlineStr">
        <is>
          <t>No</t>
        </is>
      </c>
    </row>
    <row r="185">
      <c r="A185" t="inlineStr">
        <is>
          <t>CF0184</t>
        </is>
      </c>
      <c r="B185" t="inlineStr">
        <is>
          <t>No</t>
        </is>
      </c>
      <c r="C185" t="inlineStr">
        <is>
          <t>No</t>
        </is>
      </c>
    </row>
    <row r="186">
      <c r="A186" t="inlineStr">
        <is>
          <t>CF0185</t>
        </is>
      </c>
      <c r="B186" t="inlineStr">
        <is>
          <t>No</t>
        </is>
      </c>
      <c r="C186" t="inlineStr">
        <is>
          <t>No</t>
        </is>
      </c>
    </row>
    <row r="187">
      <c r="A187" t="inlineStr">
        <is>
          <t>CF0186</t>
        </is>
      </c>
      <c r="B187" t="inlineStr">
        <is>
          <t>No</t>
        </is>
      </c>
      <c r="C187" t="inlineStr">
        <is>
          <t>No</t>
        </is>
      </c>
    </row>
    <row r="188">
      <c r="A188" t="inlineStr">
        <is>
          <t>CF0187</t>
        </is>
      </c>
      <c r="B188" t="inlineStr">
        <is>
          <t>Yes</t>
        </is>
      </c>
      <c r="C188" t="inlineStr">
        <is>
          <t>Yes</t>
        </is>
      </c>
    </row>
    <row r="189">
      <c r="A189" t="inlineStr">
        <is>
          <t>CF0188</t>
        </is>
      </c>
      <c r="B189" t="inlineStr">
        <is>
          <t>No</t>
        </is>
      </c>
      <c r="C189" t="inlineStr">
        <is>
          <t>No</t>
        </is>
      </c>
    </row>
    <row r="190">
      <c r="A190" t="inlineStr">
        <is>
          <t>CF0189</t>
        </is>
      </c>
      <c r="B190" t="inlineStr">
        <is>
          <t>No</t>
        </is>
      </c>
      <c r="C190" t="inlineStr">
        <is>
          <t>No</t>
        </is>
      </c>
    </row>
    <row r="191">
      <c r="A191" t="inlineStr">
        <is>
          <t>CF0190</t>
        </is>
      </c>
      <c r="B191" t="inlineStr">
        <is>
          <t>No</t>
        </is>
      </c>
      <c r="C191" t="inlineStr">
        <is>
          <t>No</t>
        </is>
      </c>
    </row>
    <row r="192">
      <c r="A192" t="inlineStr">
        <is>
          <t>CF0191</t>
        </is>
      </c>
      <c r="B192" t="inlineStr">
        <is>
          <t>No</t>
        </is>
      </c>
      <c r="C192" t="inlineStr">
        <is>
          <t>Yes</t>
        </is>
      </c>
    </row>
    <row r="193">
      <c r="A193" t="inlineStr">
        <is>
          <t>CF0192</t>
        </is>
      </c>
      <c r="B193" t="inlineStr">
        <is>
          <t>No</t>
        </is>
      </c>
      <c r="C193" t="inlineStr">
        <is>
          <t>No</t>
        </is>
      </c>
    </row>
    <row r="194">
      <c r="A194" t="inlineStr">
        <is>
          <t>CF0193</t>
        </is>
      </c>
      <c r="B194" t="inlineStr">
        <is>
          <t>No</t>
        </is>
      </c>
      <c r="C194" t="inlineStr">
        <is>
          <t>No</t>
        </is>
      </c>
    </row>
    <row r="195">
      <c r="A195" t="inlineStr">
        <is>
          <t>CF0194</t>
        </is>
      </c>
      <c r="B195" t="inlineStr">
        <is>
          <t>No</t>
        </is>
      </c>
      <c r="C195" t="inlineStr">
        <is>
          <t>No</t>
        </is>
      </c>
    </row>
    <row r="196">
      <c r="A196" t="inlineStr">
        <is>
          <t>CF0195</t>
        </is>
      </c>
      <c r="B196" t="inlineStr">
        <is>
          <t>No</t>
        </is>
      </c>
      <c r="C196" t="inlineStr">
        <is>
          <t>No</t>
        </is>
      </c>
    </row>
    <row r="197">
      <c r="A197" t="inlineStr">
        <is>
          <t>CF0196</t>
        </is>
      </c>
      <c r="B197" t="inlineStr">
        <is>
          <t>No</t>
        </is>
      </c>
      <c r="C197" t="inlineStr">
        <is>
          <t>No</t>
        </is>
      </c>
    </row>
    <row r="198">
      <c r="A198" t="inlineStr">
        <is>
          <t>CF0197</t>
        </is>
      </c>
      <c r="B198" t="inlineStr">
        <is>
          <t>No</t>
        </is>
      </c>
      <c r="C198" t="inlineStr">
        <is>
          <t>No</t>
        </is>
      </c>
    </row>
    <row r="199">
      <c r="A199" t="inlineStr">
        <is>
          <t>CF0198</t>
        </is>
      </c>
      <c r="B199" t="inlineStr">
        <is>
          <t>Yes</t>
        </is>
      </c>
      <c r="C199" t="inlineStr">
        <is>
          <t>Yes</t>
        </is>
      </c>
    </row>
    <row r="200">
      <c r="A200" t="inlineStr">
        <is>
          <t>CF0199</t>
        </is>
      </c>
      <c r="B200" t="inlineStr">
        <is>
          <t>No</t>
        </is>
      </c>
      <c r="C200" t="inlineStr">
        <is>
          <t>No</t>
        </is>
      </c>
    </row>
    <row r="201">
      <c r="A201" t="inlineStr">
        <is>
          <t>CF0200</t>
        </is>
      </c>
      <c r="B201" t="inlineStr">
        <is>
          <t>No</t>
        </is>
      </c>
      <c r="C201" t="inlineStr">
        <is>
          <t>No</t>
        </is>
      </c>
    </row>
    <row r="202">
      <c r="A202" t="inlineStr">
        <is>
          <t>CF0201</t>
        </is>
      </c>
      <c r="B202" t="inlineStr">
        <is>
          <t>No</t>
        </is>
      </c>
      <c r="C202" t="inlineStr">
        <is>
          <t>No</t>
        </is>
      </c>
    </row>
    <row r="203">
      <c r="A203" t="inlineStr">
        <is>
          <t>CF0202</t>
        </is>
      </c>
      <c r="B203" t="inlineStr">
        <is>
          <t>No</t>
        </is>
      </c>
      <c r="C203" t="inlineStr">
        <is>
          <t>Yes</t>
        </is>
      </c>
    </row>
    <row r="204">
      <c r="A204" t="inlineStr">
        <is>
          <t>CF0203</t>
        </is>
      </c>
      <c r="B204" t="inlineStr">
        <is>
          <t>No</t>
        </is>
      </c>
      <c r="C204" t="inlineStr">
        <is>
          <t>No</t>
        </is>
      </c>
    </row>
    <row r="205">
      <c r="A205" t="inlineStr">
        <is>
          <t>CF0204</t>
        </is>
      </c>
      <c r="B205" t="inlineStr">
        <is>
          <t>No</t>
        </is>
      </c>
      <c r="C205" t="inlineStr">
        <is>
          <t>Yes</t>
        </is>
      </c>
    </row>
    <row r="206">
      <c r="A206" t="inlineStr">
        <is>
          <t>CF0205</t>
        </is>
      </c>
      <c r="B206" t="inlineStr">
        <is>
          <t>No</t>
        </is>
      </c>
      <c r="C206" t="inlineStr">
        <is>
          <t>No</t>
        </is>
      </c>
    </row>
    <row r="207">
      <c r="A207" t="inlineStr">
        <is>
          <t>CF0206</t>
        </is>
      </c>
      <c r="B207" t="inlineStr">
        <is>
          <t>No</t>
        </is>
      </c>
      <c r="C207" t="inlineStr">
        <is>
          <t>Yes</t>
        </is>
      </c>
    </row>
    <row r="208">
      <c r="A208" t="inlineStr">
        <is>
          <t>CF0207</t>
        </is>
      </c>
      <c r="B208" t="inlineStr">
        <is>
          <t>No</t>
        </is>
      </c>
      <c r="C208" t="inlineStr">
        <is>
          <t>No</t>
        </is>
      </c>
    </row>
    <row r="209">
      <c r="A209" t="inlineStr">
        <is>
          <t>CF0208</t>
        </is>
      </c>
      <c r="B209" t="inlineStr">
        <is>
          <t>No</t>
        </is>
      </c>
      <c r="C209" t="inlineStr">
        <is>
          <t>Yes</t>
        </is>
      </c>
    </row>
    <row r="210">
      <c r="A210" t="inlineStr">
        <is>
          <t>CF0209</t>
        </is>
      </c>
      <c r="B210" t="inlineStr">
        <is>
          <t>No</t>
        </is>
      </c>
      <c r="C210" t="inlineStr">
        <is>
          <t>No</t>
        </is>
      </c>
    </row>
    <row r="211">
      <c r="A211" t="inlineStr">
        <is>
          <t>CF0210</t>
        </is>
      </c>
      <c r="B211" t="inlineStr">
        <is>
          <t>No</t>
        </is>
      </c>
      <c r="C211" t="inlineStr">
        <is>
          <t>No</t>
        </is>
      </c>
    </row>
    <row r="212">
      <c r="A212" t="inlineStr">
        <is>
          <t>CF0211</t>
        </is>
      </c>
      <c r="B212" t="inlineStr">
        <is>
          <t>No</t>
        </is>
      </c>
      <c r="C212" t="inlineStr">
        <is>
          <t>Yes</t>
        </is>
      </c>
    </row>
    <row r="213">
      <c r="A213" t="inlineStr">
        <is>
          <t>CF0212</t>
        </is>
      </c>
      <c r="B213" t="inlineStr">
        <is>
          <t>No</t>
        </is>
      </c>
      <c r="C213" t="inlineStr">
        <is>
          <t>Yes</t>
        </is>
      </c>
    </row>
    <row r="214">
      <c r="A214" t="inlineStr">
        <is>
          <t>CF0213</t>
        </is>
      </c>
      <c r="B214" t="inlineStr">
        <is>
          <t>Yes</t>
        </is>
      </c>
      <c r="C214" t="inlineStr">
        <is>
          <t>No</t>
        </is>
      </c>
    </row>
    <row r="215">
      <c r="A215" t="inlineStr">
        <is>
          <t>CF0214</t>
        </is>
      </c>
      <c r="B215" t="inlineStr">
        <is>
          <t>Yes</t>
        </is>
      </c>
      <c r="C215" t="inlineStr">
        <is>
          <t>Yes</t>
        </is>
      </c>
    </row>
    <row r="216">
      <c r="A216" t="inlineStr">
        <is>
          <t>CF0215</t>
        </is>
      </c>
      <c r="B216" t="inlineStr">
        <is>
          <t>No</t>
        </is>
      </c>
      <c r="C216" t="inlineStr">
        <is>
          <t>Yes</t>
        </is>
      </c>
    </row>
    <row r="217">
      <c r="A217" t="inlineStr">
        <is>
          <t>CF0216</t>
        </is>
      </c>
      <c r="B217" t="inlineStr">
        <is>
          <t>No</t>
        </is>
      </c>
      <c r="C217" t="inlineStr">
        <is>
          <t>No</t>
        </is>
      </c>
    </row>
    <row r="218">
      <c r="A218" t="inlineStr">
        <is>
          <t>CF0217</t>
        </is>
      </c>
      <c r="B218" t="inlineStr">
        <is>
          <t>No</t>
        </is>
      </c>
      <c r="C218" t="inlineStr">
        <is>
          <t>No</t>
        </is>
      </c>
    </row>
    <row r="219">
      <c r="A219" t="inlineStr">
        <is>
          <t>CF0218</t>
        </is>
      </c>
      <c r="B219" t="inlineStr">
        <is>
          <t>No</t>
        </is>
      </c>
      <c r="C219" t="inlineStr">
        <is>
          <t>No</t>
        </is>
      </c>
    </row>
    <row r="220">
      <c r="A220" t="inlineStr">
        <is>
          <t>CF0219</t>
        </is>
      </c>
      <c r="B220" t="inlineStr">
        <is>
          <t>No</t>
        </is>
      </c>
      <c r="C220" t="inlineStr">
        <is>
          <t>Yes</t>
        </is>
      </c>
    </row>
    <row r="221">
      <c r="A221" t="inlineStr">
        <is>
          <t>CF0220</t>
        </is>
      </c>
      <c r="B221" t="inlineStr">
        <is>
          <t>No</t>
        </is>
      </c>
      <c r="C221" t="inlineStr">
        <is>
          <t>Yes</t>
        </is>
      </c>
    </row>
    <row r="222">
      <c r="A222" t="inlineStr">
        <is>
          <t>CF0221</t>
        </is>
      </c>
      <c r="B222" t="inlineStr">
        <is>
          <t>No</t>
        </is>
      </c>
      <c r="C222" t="inlineStr">
        <is>
          <t>No</t>
        </is>
      </c>
    </row>
    <row r="223">
      <c r="A223" t="inlineStr">
        <is>
          <t>CF0222</t>
        </is>
      </c>
      <c r="B223" t="inlineStr">
        <is>
          <t>Yes</t>
        </is>
      </c>
      <c r="C223" t="inlineStr">
        <is>
          <t>Yes</t>
        </is>
      </c>
    </row>
    <row r="224">
      <c r="A224" t="inlineStr">
        <is>
          <t>CF0223</t>
        </is>
      </c>
      <c r="B224" t="inlineStr">
        <is>
          <t>No</t>
        </is>
      </c>
      <c r="C224" t="inlineStr">
        <is>
          <t>Yes</t>
        </is>
      </c>
    </row>
    <row r="225">
      <c r="A225" t="inlineStr">
        <is>
          <t>CF0224</t>
        </is>
      </c>
      <c r="B225" t="inlineStr">
        <is>
          <t>No</t>
        </is>
      </c>
      <c r="C225" t="inlineStr">
        <is>
          <t>No</t>
        </is>
      </c>
    </row>
    <row r="226">
      <c r="A226" t="inlineStr">
        <is>
          <t>CF0225</t>
        </is>
      </c>
      <c r="B226" t="inlineStr">
        <is>
          <t>No</t>
        </is>
      </c>
      <c r="C226" t="inlineStr">
        <is>
          <t>No</t>
        </is>
      </c>
    </row>
    <row r="227">
      <c r="A227" t="inlineStr">
        <is>
          <t>CF0226</t>
        </is>
      </c>
      <c r="B227" t="inlineStr">
        <is>
          <t>Yes</t>
        </is>
      </c>
      <c r="C227" t="inlineStr">
        <is>
          <t>Yes</t>
        </is>
      </c>
    </row>
    <row r="228">
      <c r="A228" t="inlineStr">
        <is>
          <t>CF0227</t>
        </is>
      </c>
      <c r="B228" t="inlineStr">
        <is>
          <t>No</t>
        </is>
      </c>
      <c r="C228" t="inlineStr">
        <is>
          <t>No</t>
        </is>
      </c>
    </row>
    <row r="229">
      <c r="A229" t="inlineStr">
        <is>
          <t>CF0228</t>
        </is>
      </c>
      <c r="B229" t="inlineStr">
        <is>
          <t>No</t>
        </is>
      </c>
      <c r="C229" t="inlineStr">
        <is>
          <t>Yes</t>
        </is>
      </c>
    </row>
    <row r="230">
      <c r="A230" t="inlineStr">
        <is>
          <t>CF0229</t>
        </is>
      </c>
      <c r="B230" t="inlineStr">
        <is>
          <t>No</t>
        </is>
      </c>
      <c r="C230" t="inlineStr">
        <is>
          <t>No</t>
        </is>
      </c>
    </row>
    <row r="231">
      <c r="A231" t="inlineStr">
        <is>
          <t>CF0230</t>
        </is>
      </c>
      <c r="B231" t="inlineStr">
        <is>
          <t>No</t>
        </is>
      </c>
      <c r="C231" t="inlineStr">
        <is>
          <t>No</t>
        </is>
      </c>
    </row>
    <row r="232">
      <c r="A232" t="inlineStr">
        <is>
          <t>CF0231</t>
        </is>
      </c>
      <c r="B232" t="inlineStr">
        <is>
          <t>Yes</t>
        </is>
      </c>
      <c r="C232" t="inlineStr">
        <is>
          <t>Yes</t>
        </is>
      </c>
    </row>
    <row r="233">
      <c r="A233" t="inlineStr">
        <is>
          <t>CF0232</t>
        </is>
      </c>
      <c r="B233" t="inlineStr">
        <is>
          <t>No</t>
        </is>
      </c>
      <c r="C233" t="inlineStr">
        <is>
          <t>No</t>
        </is>
      </c>
    </row>
    <row r="234">
      <c r="A234" t="inlineStr">
        <is>
          <t>CF0233</t>
        </is>
      </c>
      <c r="B234" t="inlineStr">
        <is>
          <t>No</t>
        </is>
      </c>
      <c r="C234" t="inlineStr">
        <is>
          <t>No</t>
        </is>
      </c>
    </row>
    <row r="235">
      <c r="A235" t="inlineStr">
        <is>
          <t>CF0234</t>
        </is>
      </c>
      <c r="B235" t="inlineStr">
        <is>
          <t>No</t>
        </is>
      </c>
      <c r="C235" t="inlineStr">
        <is>
          <t>Yes</t>
        </is>
      </c>
    </row>
    <row r="236">
      <c r="A236" t="inlineStr">
        <is>
          <t>CF0235</t>
        </is>
      </c>
      <c r="B236" t="inlineStr">
        <is>
          <t>No</t>
        </is>
      </c>
      <c r="C236" t="inlineStr">
        <is>
          <t>No</t>
        </is>
      </c>
    </row>
    <row r="237">
      <c r="A237" t="inlineStr">
        <is>
          <t>CF0236</t>
        </is>
      </c>
      <c r="B237" t="inlineStr">
        <is>
          <t>No</t>
        </is>
      </c>
      <c r="C237" t="inlineStr">
        <is>
          <t>Yes</t>
        </is>
      </c>
    </row>
    <row r="238">
      <c r="A238" t="inlineStr">
        <is>
          <t>CF0237</t>
        </is>
      </c>
      <c r="B238" t="inlineStr">
        <is>
          <t>No</t>
        </is>
      </c>
      <c r="C238" t="inlineStr">
        <is>
          <t>No</t>
        </is>
      </c>
    </row>
    <row r="239">
      <c r="A239" t="inlineStr">
        <is>
          <t>CF0238</t>
        </is>
      </c>
      <c r="B239" t="inlineStr">
        <is>
          <t>No</t>
        </is>
      </c>
      <c r="C239" t="inlineStr">
        <is>
          <t>No</t>
        </is>
      </c>
    </row>
    <row r="240">
      <c r="A240" t="inlineStr">
        <is>
          <t>CF0239</t>
        </is>
      </c>
      <c r="B240" t="inlineStr">
        <is>
          <t>No</t>
        </is>
      </c>
      <c r="C240" t="inlineStr">
        <is>
          <t>Yes</t>
        </is>
      </c>
    </row>
    <row r="241">
      <c r="A241" t="inlineStr">
        <is>
          <t>CF0240</t>
        </is>
      </c>
      <c r="B241" t="inlineStr">
        <is>
          <t>No</t>
        </is>
      </c>
      <c r="C241" t="inlineStr">
        <is>
          <t>No</t>
        </is>
      </c>
    </row>
    <row r="242">
      <c r="A242" t="inlineStr">
        <is>
          <t>CF0241</t>
        </is>
      </c>
      <c r="B242" t="inlineStr">
        <is>
          <t>No</t>
        </is>
      </c>
      <c r="C242" t="inlineStr">
        <is>
          <t>No</t>
        </is>
      </c>
    </row>
    <row r="243">
      <c r="A243" t="inlineStr">
        <is>
          <t>CF0242</t>
        </is>
      </c>
      <c r="B243" t="inlineStr">
        <is>
          <t>No</t>
        </is>
      </c>
      <c r="C243" t="inlineStr">
        <is>
          <t>No</t>
        </is>
      </c>
    </row>
    <row r="244">
      <c r="A244" t="inlineStr">
        <is>
          <t>CF0243</t>
        </is>
      </c>
      <c r="B244" t="inlineStr">
        <is>
          <t>No</t>
        </is>
      </c>
      <c r="C244" t="inlineStr">
        <is>
          <t>No</t>
        </is>
      </c>
    </row>
    <row r="245">
      <c r="A245" t="inlineStr">
        <is>
          <t>CF0244</t>
        </is>
      </c>
      <c r="B245" t="inlineStr">
        <is>
          <t>No</t>
        </is>
      </c>
      <c r="C245" t="inlineStr">
        <is>
          <t>Yes</t>
        </is>
      </c>
    </row>
    <row r="246">
      <c r="A246" t="inlineStr">
        <is>
          <t>CF0245</t>
        </is>
      </c>
      <c r="B246" t="inlineStr">
        <is>
          <t>No</t>
        </is>
      </c>
      <c r="C246" t="inlineStr">
        <is>
          <t>No</t>
        </is>
      </c>
    </row>
    <row r="247">
      <c r="A247" t="inlineStr">
        <is>
          <t>CF0246</t>
        </is>
      </c>
      <c r="B247" t="inlineStr">
        <is>
          <t>No</t>
        </is>
      </c>
      <c r="C247" t="inlineStr">
        <is>
          <t>Yes</t>
        </is>
      </c>
    </row>
    <row r="248">
      <c r="A248" t="inlineStr">
        <is>
          <t>CF0247</t>
        </is>
      </c>
      <c r="B248" t="inlineStr">
        <is>
          <t>Yes</t>
        </is>
      </c>
      <c r="C248" t="inlineStr">
        <is>
          <t>Yes</t>
        </is>
      </c>
    </row>
    <row r="249">
      <c r="A249" t="inlineStr">
        <is>
          <t>CF0248</t>
        </is>
      </c>
      <c r="B249" t="inlineStr">
        <is>
          <t>No</t>
        </is>
      </c>
      <c r="C249" t="inlineStr">
        <is>
          <t>Yes</t>
        </is>
      </c>
    </row>
    <row r="250">
      <c r="A250" t="inlineStr">
        <is>
          <t>CF0249</t>
        </is>
      </c>
      <c r="B250" t="inlineStr">
        <is>
          <t>No</t>
        </is>
      </c>
      <c r="C250" t="inlineStr">
        <is>
          <t>No</t>
        </is>
      </c>
    </row>
    <row r="251">
      <c r="A251" t="inlineStr">
        <is>
          <t>CF0250</t>
        </is>
      </c>
      <c r="B251" t="inlineStr">
        <is>
          <t>No</t>
        </is>
      </c>
      <c r="C251" t="inlineStr">
        <is>
          <t>No</t>
        </is>
      </c>
    </row>
    <row r="252">
      <c r="A252" t="inlineStr">
        <is>
          <t>CF0251</t>
        </is>
      </c>
      <c r="B252" t="inlineStr">
        <is>
          <t>No</t>
        </is>
      </c>
      <c r="C252" t="inlineStr">
        <is>
          <t>Yes</t>
        </is>
      </c>
    </row>
    <row r="253">
      <c r="A253" t="inlineStr">
        <is>
          <t>CF0252</t>
        </is>
      </c>
      <c r="B253" t="inlineStr">
        <is>
          <t>No</t>
        </is>
      </c>
      <c r="C253" t="inlineStr">
        <is>
          <t>No</t>
        </is>
      </c>
    </row>
    <row r="254">
      <c r="A254" t="inlineStr">
        <is>
          <t>CF0253</t>
        </is>
      </c>
      <c r="B254" t="inlineStr">
        <is>
          <t>No</t>
        </is>
      </c>
      <c r="C254" t="inlineStr">
        <is>
          <t>No</t>
        </is>
      </c>
    </row>
    <row r="255">
      <c r="A255" t="inlineStr">
        <is>
          <t>CF0254</t>
        </is>
      </c>
      <c r="B255" t="inlineStr">
        <is>
          <t>No</t>
        </is>
      </c>
      <c r="C255" t="inlineStr">
        <is>
          <t>No</t>
        </is>
      </c>
    </row>
    <row r="256">
      <c r="A256" t="inlineStr">
        <is>
          <t>CF0255</t>
        </is>
      </c>
      <c r="B256" t="inlineStr">
        <is>
          <t>No</t>
        </is>
      </c>
      <c r="C256" t="inlineStr">
        <is>
          <t>Yes</t>
        </is>
      </c>
    </row>
    <row r="257">
      <c r="A257" t="inlineStr">
        <is>
          <t>CF0256</t>
        </is>
      </c>
      <c r="B257" t="inlineStr">
        <is>
          <t>No</t>
        </is>
      </c>
      <c r="C257" t="inlineStr">
        <is>
          <t>No</t>
        </is>
      </c>
    </row>
    <row r="258">
      <c r="A258" t="inlineStr">
        <is>
          <t>CF0257</t>
        </is>
      </c>
      <c r="B258" t="inlineStr">
        <is>
          <t>No</t>
        </is>
      </c>
      <c r="C258" t="inlineStr">
        <is>
          <t>No</t>
        </is>
      </c>
    </row>
    <row r="259">
      <c r="A259" t="inlineStr">
        <is>
          <t>CF0258</t>
        </is>
      </c>
      <c r="B259" t="inlineStr">
        <is>
          <t>No</t>
        </is>
      </c>
      <c r="C259" t="inlineStr">
        <is>
          <t>Yes</t>
        </is>
      </c>
    </row>
    <row r="260">
      <c r="A260" t="inlineStr">
        <is>
          <t>CF0259</t>
        </is>
      </c>
      <c r="B260" t="inlineStr">
        <is>
          <t>No</t>
        </is>
      </c>
      <c r="C260" t="inlineStr">
        <is>
          <t>No</t>
        </is>
      </c>
    </row>
    <row r="261">
      <c r="A261" t="inlineStr">
        <is>
          <t>CF0260</t>
        </is>
      </c>
      <c r="B261" t="inlineStr">
        <is>
          <t>No</t>
        </is>
      </c>
      <c r="C261" t="inlineStr">
        <is>
          <t>No</t>
        </is>
      </c>
    </row>
    <row r="262">
      <c r="A262" t="inlineStr">
        <is>
          <t>CF0261</t>
        </is>
      </c>
      <c r="B262" t="inlineStr">
        <is>
          <t>No</t>
        </is>
      </c>
      <c r="C262" t="inlineStr">
        <is>
          <t>No</t>
        </is>
      </c>
    </row>
    <row r="263">
      <c r="A263" t="inlineStr">
        <is>
          <t>CF0262</t>
        </is>
      </c>
      <c r="B263" t="inlineStr">
        <is>
          <t>Yes</t>
        </is>
      </c>
      <c r="C263" t="inlineStr">
        <is>
          <t>Yes</t>
        </is>
      </c>
    </row>
    <row r="264">
      <c r="A264" t="inlineStr">
        <is>
          <t>CF0263</t>
        </is>
      </c>
      <c r="B264" t="inlineStr">
        <is>
          <t>No</t>
        </is>
      </c>
      <c r="C264" t="inlineStr">
        <is>
          <t>No</t>
        </is>
      </c>
    </row>
    <row r="265">
      <c r="A265" t="inlineStr">
        <is>
          <t>CF0264</t>
        </is>
      </c>
      <c r="B265" t="inlineStr">
        <is>
          <t>No</t>
        </is>
      </c>
      <c r="C265" t="inlineStr">
        <is>
          <t>No</t>
        </is>
      </c>
    </row>
    <row r="266">
      <c r="A266" t="inlineStr">
        <is>
          <t>CF0265</t>
        </is>
      </c>
      <c r="B266" t="inlineStr">
        <is>
          <t>No</t>
        </is>
      </c>
      <c r="C266" t="inlineStr">
        <is>
          <t>No</t>
        </is>
      </c>
    </row>
    <row r="267">
      <c r="A267" t="inlineStr">
        <is>
          <t>CF0266</t>
        </is>
      </c>
      <c r="B267" t="inlineStr">
        <is>
          <t>No</t>
        </is>
      </c>
      <c r="C267" t="inlineStr">
        <is>
          <t>No</t>
        </is>
      </c>
    </row>
    <row r="268">
      <c r="A268" t="inlineStr">
        <is>
          <t>CF0267</t>
        </is>
      </c>
      <c r="B268" t="inlineStr">
        <is>
          <t>Yes</t>
        </is>
      </c>
      <c r="C268" t="inlineStr">
        <is>
          <t>Yes</t>
        </is>
      </c>
    </row>
    <row r="269">
      <c r="A269" t="inlineStr">
        <is>
          <t>CF0268</t>
        </is>
      </c>
      <c r="B269" t="inlineStr">
        <is>
          <t>No</t>
        </is>
      </c>
      <c r="C269" t="inlineStr">
        <is>
          <t>No</t>
        </is>
      </c>
    </row>
    <row r="270">
      <c r="A270" t="inlineStr">
        <is>
          <t>CF0269</t>
        </is>
      </c>
      <c r="B270" t="inlineStr">
        <is>
          <t>No</t>
        </is>
      </c>
      <c r="C270" t="inlineStr">
        <is>
          <t>No</t>
        </is>
      </c>
    </row>
    <row r="271">
      <c r="A271" t="inlineStr">
        <is>
          <t>CF0270</t>
        </is>
      </c>
      <c r="B271" t="inlineStr">
        <is>
          <t>No</t>
        </is>
      </c>
      <c r="C271" t="inlineStr">
        <is>
          <t>No</t>
        </is>
      </c>
    </row>
    <row r="272">
      <c r="A272" t="inlineStr">
        <is>
          <t>CF0271</t>
        </is>
      </c>
      <c r="B272" t="inlineStr">
        <is>
          <t>No</t>
        </is>
      </c>
      <c r="C272" t="inlineStr">
        <is>
          <t>No</t>
        </is>
      </c>
    </row>
    <row r="273">
      <c r="A273" t="inlineStr">
        <is>
          <t>CF0272</t>
        </is>
      </c>
      <c r="B273" t="inlineStr">
        <is>
          <t>No</t>
        </is>
      </c>
      <c r="C273" t="inlineStr">
        <is>
          <t>Yes</t>
        </is>
      </c>
    </row>
    <row r="274">
      <c r="A274" t="inlineStr">
        <is>
          <t>CF0273</t>
        </is>
      </c>
      <c r="B274" t="inlineStr">
        <is>
          <t>Yes</t>
        </is>
      </c>
      <c r="C274" t="inlineStr">
        <is>
          <t>No</t>
        </is>
      </c>
    </row>
    <row r="275">
      <c r="A275" t="inlineStr">
        <is>
          <t>CF0274</t>
        </is>
      </c>
      <c r="B275" t="inlineStr">
        <is>
          <t>No</t>
        </is>
      </c>
      <c r="C275" t="inlineStr">
        <is>
          <t>Yes</t>
        </is>
      </c>
    </row>
    <row r="276">
      <c r="A276" t="inlineStr">
        <is>
          <t>CF0275</t>
        </is>
      </c>
      <c r="B276" t="inlineStr">
        <is>
          <t>Yes</t>
        </is>
      </c>
      <c r="C276" t="inlineStr">
        <is>
          <t>No</t>
        </is>
      </c>
    </row>
    <row r="277">
      <c r="A277" t="inlineStr">
        <is>
          <t>CF0276</t>
        </is>
      </c>
      <c r="B277" t="inlineStr">
        <is>
          <t>Yes</t>
        </is>
      </c>
      <c r="C277" t="inlineStr">
        <is>
          <t>Yes</t>
        </is>
      </c>
    </row>
    <row r="278">
      <c r="A278" t="inlineStr">
        <is>
          <t>CF0277</t>
        </is>
      </c>
      <c r="B278" t="inlineStr">
        <is>
          <t>No</t>
        </is>
      </c>
      <c r="C278" t="inlineStr">
        <is>
          <t>No</t>
        </is>
      </c>
    </row>
    <row r="279">
      <c r="A279" t="inlineStr">
        <is>
          <t>CF0278</t>
        </is>
      </c>
      <c r="B279" t="inlineStr">
        <is>
          <t>No</t>
        </is>
      </c>
      <c r="C279" t="inlineStr">
        <is>
          <t>No</t>
        </is>
      </c>
    </row>
    <row r="280">
      <c r="A280" t="inlineStr">
        <is>
          <t>CF0279</t>
        </is>
      </c>
      <c r="B280" t="inlineStr">
        <is>
          <t>No</t>
        </is>
      </c>
      <c r="C280" t="inlineStr">
        <is>
          <t>No</t>
        </is>
      </c>
    </row>
    <row r="281">
      <c r="A281" t="inlineStr">
        <is>
          <t>CF0280</t>
        </is>
      </c>
      <c r="B281" t="inlineStr">
        <is>
          <t>Yes</t>
        </is>
      </c>
      <c r="C281" t="inlineStr">
        <is>
          <t>Yes</t>
        </is>
      </c>
    </row>
    <row r="282">
      <c r="A282" t="inlineStr">
        <is>
          <t>CF0281</t>
        </is>
      </c>
      <c r="B282" t="inlineStr">
        <is>
          <t>Yes</t>
        </is>
      </c>
      <c r="C282" t="inlineStr">
        <is>
          <t>Yes</t>
        </is>
      </c>
    </row>
    <row r="283">
      <c r="A283" t="inlineStr">
        <is>
          <t>CF0282</t>
        </is>
      </c>
      <c r="B283" t="inlineStr">
        <is>
          <t>No</t>
        </is>
      </c>
      <c r="C283" t="inlineStr">
        <is>
          <t>No</t>
        </is>
      </c>
    </row>
    <row r="284">
      <c r="A284" t="inlineStr">
        <is>
          <t>CF0283</t>
        </is>
      </c>
      <c r="B284" t="inlineStr">
        <is>
          <t>Yes</t>
        </is>
      </c>
      <c r="C284" t="inlineStr">
        <is>
          <t>No</t>
        </is>
      </c>
    </row>
    <row r="285">
      <c r="A285" t="inlineStr">
        <is>
          <t>CF0284</t>
        </is>
      </c>
      <c r="B285" t="inlineStr">
        <is>
          <t>No</t>
        </is>
      </c>
      <c r="C285" t="inlineStr">
        <is>
          <t>No</t>
        </is>
      </c>
    </row>
    <row r="286">
      <c r="A286" t="inlineStr">
        <is>
          <t>CF0285</t>
        </is>
      </c>
      <c r="B286" t="inlineStr">
        <is>
          <t>No</t>
        </is>
      </c>
      <c r="C286" t="inlineStr">
        <is>
          <t>No</t>
        </is>
      </c>
    </row>
    <row r="287">
      <c r="A287" t="inlineStr">
        <is>
          <t>CF0286</t>
        </is>
      </c>
      <c r="B287" t="inlineStr">
        <is>
          <t>No</t>
        </is>
      </c>
      <c r="C287" t="inlineStr">
        <is>
          <t>Yes</t>
        </is>
      </c>
    </row>
    <row r="288">
      <c r="A288" t="inlineStr">
        <is>
          <t>CF0287</t>
        </is>
      </c>
      <c r="B288" t="inlineStr">
        <is>
          <t>No</t>
        </is>
      </c>
      <c r="C288" t="inlineStr">
        <is>
          <t>Yes</t>
        </is>
      </c>
    </row>
    <row r="289">
      <c r="A289" t="inlineStr">
        <is>
          <t>CF0288</t>
        </is>
      </c>
      <c r="B289" t="inlineStr">
        <is>
          <t>No</t>
        </is>
      </c>
      <c r="C289" t="inlineStr">
        <is>
          <t>No</t>
        </is>
      </c>
    </row>
    <row r="290">
      <c r="A290" t="inlineStr">
        <is>
          <t>CF0289</t>
        </is>
      </c>
      <c r="B290" t="inlineStr">
        <is>
          <t>No</t>
        </is>
      </c>
      <c r="C290" t="inlineStr">
        <is>
          <t>No</t>
        </is>
      </c>
    </row>
    <row r="291">
      <c r="A291" t="inlineStr">
        <is>
          <t>CF0290</t>
        </is>
      </c>
      <c r="B291" t="inlineStr">
        <is>
          <t>No</t>
        </is>
      </c>
      <c r="C291" t="inlineStr">
        <is>
          <t>No</t>
        </is>
      </c>
    </row>
    <row r="292">
      <c r="A292" t="inlineStr">
        <is>
          <t>CF0291</t>
        </is>
      </c>
      <c r="B292" t="inlineStr">
        <is>
          <t>No</t>
        </is>
      </c>
      <c r="C292" t="inlineStr">
        <is>
          <t>No</t>
        </is>
      </c>
    </row>
    <row r="293">
      <c r="A293" t="inlineStr">
        <is>
          <t>CF0292</t>
        </is>
      </c>
      <c r="B293" t="inlineStr">
        <is>
          <t>No</t>
        </is>
      </c>
      <c r="C293" t="inlineStr">
        <is>
          <t>No</t>
        </is>
      </c>
    </row>
    <row r="294">
      <c r="A294" t="inlineStr">
        <is>
          <t>CF0293</t>
        </is>
      </c>
      <c r="B294" t="inlineStr">
        <is>
          <t>No</t>
        </is>
      </c>
      <c r="C294" t="inlineStr">
        <is>
          <t>No</t>
        </is>
      </c>
    </row>
    <row r="295">
      <c r="A295" t="inlineStr">
        <is>
          <t>CF0294</t>
        </is>
      </c>
      <c r="B295" t="inlineStr">
        <is>
          <t>No</t>
        </is>
      </c>
      <c r="C295" t="inlineStr">
        <is>
          <t>Yes</t>
        </is>
      </c>
    </row>
    <row r="296">
      <c r="A296" t="inlineStr">
        <is>
          <t>CF0295</t>
        </is>
      </c>
      <c r="B296" t="inlineStr">
        <is>
          <t>No</t>
        </is>
      </c>
      <c r="C296" t="inlineStr">
        <is>
          <t>No</t>
        </is>
      </c>
    </row>
    <row r="297">
      <c r="A297" t="inlineStr">
        <is>
          <t>CF0296</t>
        </is>
      </c>
      <c r="B297" t="inlineStr">
        <is>
          <t>No</t>
        </is>
      </c>
      <c r="C297" t="inlineStr">
        <is>
          <t>Yes</t>
        </is>
      </c>
    </row>
    <row r="298">
      <c r="A298" t="inlineStr">
        <is>
          <t>CF0297</t>
        </is>
      </c>
      <c r="B298" t="inlineStr">
        <is>
          <t>Yes</t>
        </is>
      </c>
      <c r="C298" t="inlineStr">
        <is>
          <t>Yes</t>
        </is>
      </c>
    </row>
    <row r="299">
      <c r="A299" t="inlineStr">
        <is>
          <t>CF0298</t>
        </is>
      </c>
      <c r="B299" t="inlineStr">
        <is>
          <t>No</t>
        </is>
      </c>
      <c r="C299" t="inlineStr">
        <is>
          <t>No</t>
        </is>
      </c>
    </row>
    <row r="300">
      <c r="A300" t="inlineStr">
        <is>
          <t>CF0299</t>
        </is>
      </c>
      <c r="B300" t="inlineStr">
        <is>
          <t>No</t>
        </is>
      </c>
      <c r="C300" t="inlineStr">
        <is>
          <t>No</t>
        </is>
      </c>
    </row>
    <row r="301">
      <c r="A301" t="inlineStr">
        <is>
          <t>CF0300</t>
        </is>
      </c>
      <c r="B301" t="inlineStr">
        <is>
          <t>No</t>
        </is>
      </c>
      <c r="C301" t="inlineStr">
        <is>
          <t>No</t>
        </is>
      </c>
    </row>
    <row r="302">
      <c r="A302" t="inlineStr">
        <is>
          <t>CF0301</t>
        </is>
      </c>
      <c r="B302" t="inlineStr">
        <is>
          <t>No</t>
        </is>
      </c>
      <c r="C302" t="inlineStr">
        <is>
          <t>No</t>
        </is>
      </c>
    </row>
    <row r="303">
      <c r="A303" t="inlineStr">
        <is>
          <t>CF0302</t>
        </is>
      </c>
      <c r="B303" t="inlineStr">
        <is>
          <t>No</t>
        </is>
      </c>
      <c r="C303" t="inlineStr">
        <is>
          <t>Yes</t>
        </is>
      </c>
    </row>
    <row r="304">
      <c r="A304" t="inlineStr">
        <is>
          <t>CF0303</t>
        </is>
      </c>
      <c r="B304" t="inlineStr">
        <is>
          <t>No</t>
        </is>
      </c>
      <c r="C304" t="inlineStr">
        <is>
          <t>Yes</t>
        </is>
      </c>
    </row>
    <row r="305">
      <c r="A305" t="inlineStr">
        <is>
          <t>CF0304</t>
        </is>
      </c>
      <c r="B305" t="inlineStr">
        <is>
          <t>No</t>
        </is>
      </c>
      <c r="C305" t="inlineStr">
        <is>
          <t>No</t>
        </is>
      </c>
    </row>
    <row r="306">
      <c r="A306" t="inlineStr">
        <is>
          <t>CF0305</t>
        </is>
      </c>
      <c r="B306" t="inlineStr">
        <is>
          <t>No</t>
        </is>
      </c>
      <c r="C306" t="inlineStr">
        <is>
          <t>No</t>
        </is>
      </c>
    </row>
    <row r="307">
      <c r="A307" t="inlineStr">
        <is>
          <t>CF0306</t>
        </is>
      </c>
      <c r="B307" t="inlineStr">
        <is>
          <t>No</t>
        </is>
      </c>
      <c r="C307" t="inlineStr">
        <is>
          <t>No</t>
        </is>
      </c>
    </row>
    <row r="308">
      <c r="A308" t="inlineStr">
        <is>
          <t>CF0307</t>
        </is>
      </c>
      <c r="B308" t="inlineStr">
        <is>
          <t>No</t>
        </is>
      </c>
      <c r="C308" t="inlineStr">
        <is>
          <t>No</t>
        </is>
      </c>
    </row>
    <row r="309">
      <c r="A309" t="inlineStr">
        <is>
          <t>CF0308</t>
        </is>
      </c>
      <c r="B309" t="inlineStr">
        <is>
          <t>No</t>
        </is>
      </c>
      <c r="C309" t="inlineStr">
        <is>
          <t>Yes</t>
        </is>
      </c>
    </row>
    <row r="310">
      <c r="A310" t="inlineStr">
        <is>
          <t>CF0309</t>
        </is>
      </c>
      <c r="B310" t="inlineStr">
        <is>
          <t>No</t>
        </is>
      </c>
      <c r="C310" t="inlineStr">
        <is>
          <t>No</t>
        </is>
      </c>
    </row>
    <row r="311">
      <c r="A311" t="inlineStr">
        <is>
          <t>CF0310</t>
        </is>
      </c>
      <c r="B311" t="inlineStr">
        <is>
          <t>No</t>
        </is>
      </c>
      <c r="C311" t="inlineStr">
        <is>
          <t>No</t>
        </is>
      </c>
    </row>
    <row r="312">
      <c r="A312" t="inlineStr">
        <is>
          <t>CF0311</t>
        </is>
      </c>
      <c r="B312" t="inlineStr">
        <is>
          <t>No</t>
        </is>
      </c>
      <c r="C312" t="inlineStr">
        <is>
          <t>No</t>
        </is>
      </c>
    </row>
    <row r="313">
      <c r="A313" t="inlineStr">
        <is>
          <t>CF0312</t>
        </is>
      </c>
      <c r="B313" t="inlineStr">
        <is>
          <t>Yes</t>
        </is>
      </c>
      <c r="C313" t="inlineStr">
        <is>
          <t>Yes</t>
        </is>
      </c>
    </row>
    <row r="314">
      <c r="A314" t="inlineStr">
        <is>
          <t>CF0313</t>
        </is>
      </c>
      <c r="B314" t="inlineStr">
        <is>
          <t>No</t>
        </is>
      </c>
      <c r="C314" t="inlineStr">
        <is>
          <t>No</t>
        </is>
      </c>
    </row>
    <row r="315">
      <c r="A315" t="inlineStr">
        <is>
          <t>CF0314</t>
        </is>
      </c>
      <c r="B315" t="inlineStr">
        <is>
          <t>No</t>
        </is>
      </c>
      <c r="C315" t="inlineStr">
        <is>
          <t>Yes</t>
        </is>
      </c>
    </row>
    <row r="316">
      <c r="A316" t="inlineStr">
        <is>
          <t>CF0315</t>
        </is>
      </c>
      <c r="B316" t="inlineStr">
        <is>
          <t>No</t>
        </is>
      </c>
      <c r="C316" t="inlineStr">
        <is>
          <t>No</t>
        </is>
      </c>
    </row>
    <row r="317">
      <c r="A317" t="inlineStr">
        <is>
          <t>CF0316</t>
        </is>
      </c>
      <c r="B317" t="inlineStr">
        <is>
          <t>No</t>
        </is>
      </c>
      <c r="C317" t="inlineStr">
        <is>
          <t>No</t>
        </is>
      </c>
    </row>
    <row r="318">
      <c r="A318" t="inlineStr">
        <is>
          <t>CF0317</t>
        </is>
      </c>
      <c r="B318" t="inlineStr">
        <is>
          <t>No</t>
        </is>
      </c>
      <c r="C318" t="inlineStr">
        <is>
          <t>No</t>
        </is>
      </c>
    </row>
    <row r="319">
      <c r="A319" t="inlineStr">
        <is>
          <t>CF0318</t>
        </is>
      </c>
      <c r="B319" t="inlineStr">
        <is>
          <t>No</t>
        </is>
      </c>
      <c r="C319" t="inlineStr">
        <is>
          <t>Yes</t>
        </is>
      </c>
    </row>
    <row r="320">
      <c r="A320" t="inlineStr">
        <is>
          <t>CF0319</t>
        </is>
      </c>
      <c r="B320" t="inlineStr">
        <is>
          <t>No</t>
        </is>
      </c>
      <c r="C320" t="inlineStr">
        <is>
          <t>No</t>
        </is>
      </c>
    </row>
    <row r="321">
      <c r="A321" t="inlineStr">
        <is>
          <t>CF0320</t>
        </is>
      </c>
      <c r="B321" t="inlineStr">
        <is>
          <t>No</t>
        </is>
      </c>
      <c r="C321" t="inlineStr">
        <is>
          <t>No</t>
        </is>
      </c>
    </row>
    <row r="322">
      <c r="A322" t="inlineStr">
        <is>
          <t>CF0321</t>
        </is>
      </c>
      <c r="B322" t="inlineStr">
        <is>
          <t>No</t>
        </is>
      </c>
      <c r="C322" t="inlineStr">
        <is>
          <t>Yes</t>
        </is>
      </c>
    </row>
    <row r="323">
      <c r="A323" t="inlineStr">
        <is>
          <t>CF0322</t>
        </is>
      </c>
      <c r="B323" t="inlineStr">
        <is>
          <t>No</t>
        </is>
      </c>
      <c r="C323" t="inlineStr">
        <is>
          <t>Yes</t>
        </is>
      </c>
    </row>
    <row r="324">
      <c r="A324" t="inlineStr">
        <is>
          <t>CF0323</t>
        </is>
      </c>
      <c r="B324" t="inlineStr">
        <is>
          <t>No</t>
        </is>
      </c>
      <c r="C324" t="inlineStr">
        <is>
          <t>Yes</t>
        </is>
      </c>
    </row>
    <row r="325">
      <c r="A325" t="inlineStr">
        <is>
          <t>CF0324</t>
        </is>
      </c>
      <c r="B325" t="inlineStr">
        <is>
          <t>No</t>
        </is>
      </c>
      <c r="C325" t="inlineStr">
        <is>
          <t>No</t>
        </is>
      </c>
    </row>
    <row r="326">
      <c r="A326" t="inlineStr">
        <is>
          <t>CF0325</t>
        </is>
      </c>
      <c r="B326" t="inlineStr">
        <is>
          <t>No</t>
        </is>
      </c>
      <c r="C326" t="inlineStr">
        <is>
          <t>No</t>
        </is>
      </c>
    </row>
    <row r="327">
      <c r="A327" t="inlineStr">
        <is>
          <t>CF0326</t>
        </is>
      </c>
      <c r="B327" t="inlineStr">
        <is>
          <t>No</t>
        </is>
      </c>
      <c r="C327" t="inlineStr">
        <is>
          <t>No</t>
        </is>
      </c>
    </row>
    <row r="328">
      <c r="A328" t="inlineStr">
        <is>
          <t>CF0327</t>
        </is>
      </c>
      <c r="B328" t="inlineStr">
        <is>
          <t>No</t>
        </is>
      </c>
      <c r="C328" t="inlineStr">
        <is>
          <t>Yes</t>
        </is>
      </c>
    </row>
    <row r="329">
      <c r="A329" t="inlineStr">
        <is>
          <t>CF0328</t>
        </is>
      </c>
      <c r="B329" t="inlineStr">
        <is>
          <t>Yes</t>
        </is>
      </c>
      <c r="C329" t="inlineStr">
        <is>
          <t>Yes</t>
        </is>
      </c>
    </row>
    <row r="330">
      <c r="A330" t="inlineStr">
        <is>
          <t>CF0329</t>
        </is>
      </c>
      <c r="B330" t="inlineStr">
        <is>
          <t>No</t>
        </is>
      </c>
      <c r="C330" t="inlineStr">
        <is>
          <t>No</t>
        </is>
      </c>
    </row>
    <row r="331">
      <c r="A331" t="inlineStr">
        <is>
          <t>CF0330</t>
        </is>
      </c>
      <c r="B331" t="inlineStr">
        <is>
          <t>No</t>
        </is>
      </c>
      <c r="C331" t="inlineStr">
        <is>
          <t>No</t>
        </is>
      </c>
    </row>
    <row r="332">
      <c r="A332" t="inlineStr">
        <is>
          <t>CF0331</t>
        </is>
      </c>
      <c r="B332" t="inlineStr">
        <is>
          <t>Yes</t>
        </is>
      </c>
      <c r="C332" t="inlineStr">
        <is>
          <t>No</t>
        </is>
      </c>
    </row>
    <row r="333">
      <c r="A333" t="inlineStr">
        <is>
          <t>CF0332</t>
        </is>
      </c>
      <c r="B333" t="inlineStr">
        <is>
          <t>No</t>
        </is>
      </c>
      <c r="C333" t="inlineStr">
        <is>
          <t>No</t>
        </is>
      </c>
    </row>
    <row r="334">
      <c r="A334" t="inlineStr">
        <is>
          <t>CF0333</t>
        </is>
      </c>
      <c r="B334" t="inlineStr">
        <is>
          <t>Yes</t>
        </is>
      </c>
      <c r="C334" t="inlineStr">
        <is>
          <t>No</t>
        </is>
      </c>
    </row>
    <row r="335">
      <c r="A335" t="inlineStr">
        <is>
          <t>CF0334</t>
        </is>
      </c>
      <c r="B335" t="inlineStr">
        <is>
          <t>No</t>
        </is>
      </c>
      <c r="C335" t="inlineStr">
        <is>
          <t>No</t>
        </is>
      </c>
    </row>
    <row r="336">
      <c r="A336" t="inlineStr">
        <is>
          <t>CF0335</t>
        </is>
      </c>
      <c r="B336" t="inlineStr">
        <is>
          <t>No</t>
        </is>
      </c>
      <c r="C336" t="inlineStr">
        <is>
          <t>No</t>
        </is>
      </c>
    </row>
    <row r="337">
      <c r="A337" t="inlineStr">
        <is>
          <t>CF0336</t>
        </is>
      </c>
      <c r="B337" t="inlineStr">
        <is>
          <t>No</t>
        </is>
      </c>
      <c r="C337" t="inlineStr">
        <is>
          <t>No</t>
        </is>
      </c>
    </row>
    <row r="338">
      <c r="A338" t="inlineStr">
        <is>
          <t>CF0337</t>
        </is>
      </c>
      <c r="B338" t="inlineStr">
        <is>
          <t>No</t>
        </is>
      </c>
      <c r="C338" t="inlineStr">
        <is>
          <t>No</t>
        </is>
      </c>
    </row>
    <row r="339">
      <c r="A339" t="inlineStr">
        <is>
          <t>CF0338</t>
        </is>
      </c>
      <c r="B339" t="inlineStr">
        <is>
          <t>No</t>
        </is>
      </c>
      <c r="C339" t="inlineStr">
        <is>
          <t>No</t>
        </is>
      </c>
    </row>
    <row r="340">
      <c r="A340" t="inlineStr">
        <is>
          <t>CF0339</t>
        </is>
      </c>
      <c r="B340" t="inlineStr">
        <is>
          <t>Yes</t>
        </is>
      </c>
      <c r="C340" t="inlineStr">
        <is>
          <t>Yes</t>
        </is>
      </c>
    </row>
    <row r="341">
      <c r="A341" t="inlineStr">
        <is>
          <t>CF0340</t>
        </is>
      </c>
      <c r="B341" t="inlineStr">
        <is>
          <t>No</t>
        </is>
      </c>
      <c r="C341" t="inlineStr">
        <is>
          <t>No</t>
        </is>
      </c>
    </row>
    <row r="342">
      <c r="A342" t="inlineStr">
        <is>
          <t>CF0341</t>
        </is>
      </c>
      <c r="B342" t="inlineStr">
        <is>
          <t>No</t>
        </is>
      </c>
      <c r="C342" t="inlineStr">
        <is>
          <t>No</t>
        </is>
      </c>
    </row>
    <row r="343">
      <c r="A343" t="inlineStr">
        <is>
          <t>CF0342</t>
        </is>
      </c>
      <c r="B343" t="inlineStr">
        <is>
          <t>No</t>
        </is>
      </c>
      <c r="C343" t="inlineStr">
        <is>
          <t>No</t>
        </is>
      </c>
    </row>
    <row r="344">
      <c r="A344" t="inlineStr">
        <is>
          <t>CF0343</t>
        </is>
      </c>
      <c r="B344" t="inlineStr">
        <is>
          <t>No</t>
        </is>
      </c>
      <c r="C344" t="inlineStr">
        <is>
          <t>Yes</t>
        </is>
      </c>
    </row>
    <row r="345">
      <c r="A345" t="inlineStr">
        <is>
          <t>CF0344</t>
        </is>
      </c>
      <c r="B345" t="inlineStr">
        <is>
          <t>No</t>
        </is>
      </c>
      <c r="C345" t="inlineStr">
        <is>
          <t>No</t>
        </is>
      </c>
    </row>
    <row r="346">
      <c r="A346" t="inlineStr">
        <is>
          <t>CF0345</t>
        </is>
      </c>
      <c r="B346" t="inlineStr">
        <is>
          <t>No</t>
        </is>
      </c>
      <c r="C346" t="inlineStr">
        <is>
          <t>No</t>
        </is>
      </c>
    </row>
    <row r="347">
      <c r="A347" t="inlineStr">
        <is>
          <t>CF0346</t>
        </is>
      </c>
      <c r="B347" t="inlineStr">
        <is>
          <t>No</t>
        </is>
      </c>
      <c r="C347" t="inlineStr">
        <is>
          <t>Yes</t>
        </is>
      </c>
    </row>
    <row r="348">
      <c r="A348" t="inlineStr">
        <is>
          <t>CF0347</t>
        </is>
      </c>
      <c r="B348" t="inlineStr">
        <is>
          <t>No</t>
        </is>
      </c>
      <c r="C348" t="inlineStr">
        <is>
          <t>Yes</t>
        </is>
      </c>
    </row>
    <row r="349">
      <c r="A349" t="inlineStr">
        <is>
          <t>CF0348</t>
        </is>
      </c>
      <c r="B349" t="inlineStr">
        <is>
          <t>No</t>
        </is>
      </c>
      <c r="C349" t="inlineStr">
        <is>
          <t>No</t>
        </is>
      </c>
    </row>
    <row r="350">
      <c r="A350" t="inlineStr">
        <is>
          <t>CF0349</t>
        </is>
      </c>
      <c r="B350" t="inlineStr">
        <is>
          <t>No</t>
        </is>
      </c>
      <c r="C350" t="inlineStr">
        <is>
          <t>Yes</t>
        </is>
      </c>
    </row>
    <row r="351">
      <c r="A351" t="inlineStr">
        <is>
          <t>CF0350</t>
        </is>
      </c>
      <c r="B351" t="inlineStr">
        <is>
          <t>No</t>
        </is>
      </c>
      <c r="C351" t="inlineStr">
        <is>
          <t>Yes</t>
        </is>
      </c>
    </row>
    <row r="352">
      <c r="A352" t="inlineStr">
        <is>
          <t>CF0351</t>
        </is>
      </c>
      <c r="B352" t="inlineStr">
        <is>
          <t>Yes</t>
        </is>
      </c>
      <c r="C352" t="inlineStr">
        <is>
          <t>Yes</t>
        </is>
      </c>
    </row>
    <row r="353">
      <c r="A353" t="inlineStr">
        <is>
          <t>CF0352</t>
        </is>
      </c>
      <c r="B353" t="inlineStr">
        <is>
          <t>No</t>
        </is>
      </c>
      <c r="C353" t="inlineStr">
        <is>
          <t>No</t>
        </is>
      </c>
    </row>
    <row r="354">
      <c r="A354" t="inlineStr">
        <is>
          <t>CF0353</t>
        </is>
      </c>
      <c r="B354" t="inlineStr">
        <is>
          <t>No</t>
        </is>
      </c>
      <c r="C354" t="inlineStr">
        <is>
          <t>No</t>
        </is>
      </c>
    </row>
    <row r="355">
      <c r="A355" t="inlineStr">
        <is>
          <t>CF0354</t>
        </is>
      </c>
      <c r="B355" t="inlineStr">
        <is>
          <t>No</t>
        </is>
      </c>
      <c r="C355" t="inlineStr">
        <is>
          <t>Yes</t>
        </is>
      </c>
    </row>
    <row r="356">
      <c r="A356" t="inlineStr">
        <is>
          <t>CF0355</t>
        </is>
      </c>
      <c r="B356" t="inlineStr">
        <is>
          <t>No</t>
        </is>
      </c>
      <c r="C356" t="inlineStr">
        <is>
          <t>No</t>
        </is>
      </c>
    </row>
    <row r="357">
      <c r="A357" t="inlineStr">
        <is>
          <t>CF0356</t>
        </is>
      </c>
      <c r="B357" t="inlineStr">
        <is>
          <t>No</t>
        </is>
      </c>
      <c r="C357" t="inlineStr">
        <is>
          <t>No</t>
        </is>
      </c>
    </row>
    <row r="358">
      <c r="A358" t="inlineStr">
        <is>
          <t>CF0357</t>
        </is>
      </c>
      <c r="B358" t="inlineStr">
        <is>
          <t>No</t>
        </is>
      </c>
      <c r="C358" t="inlineStr">
        <is>
          <t>No</t>
        </is>
      </c>
    </row>
    <row r="359">
      <c r="A359" t="inlineStr">
        <is>
          <t>CF0358</t>
        </is>
      </c>
      <c r="B359" t="inlineStr">
        <is>
          <t>No</t>
        </is>
      </c>
      <c r="C359" t="inlineStr">
        <is>
          <t>No</t>
        </is>
      </c>
    </row>
    <row r="360">
      <c r="A360" t="inlineStr">
        <is>
          <t>CF0359</t>
        </is>
      </c>
      <c r="B360" t="inlineStr">
        <is>
          <t>No</t>
        </is>
      </c>
      <c r="C360" t="inlineStr">
        <is>
          <t>Yes</t>
        </is>
      </c>
    </row>
    <row r="361">
      <c r="A361" t="inlineStr">
        <is>
          <t>CF0360</t>
        </is>
      </c>
      <c r="B361" t="inlineStr">
        <is>
          <t>No</t>
        </is>
      </c>
      <c r="C361" t="inlineStr">
        <is>
          <t>No</t>
        </is>
      </c>
    </row>
    <row r="362">
      <c r="A362" t="inlineStr">
        <is>
          <t>CF0361</t>
        </is>
      </c>
      <c r="B362" t="inlineStr">
        <is>
          <t>No</t>
        </is>
      </c>
      <c r="C362" t="inlineStr">
        <is>
          <t>No</t>
        </is>
      </c>
    </row>
    <row r="363">
      <c r="A363" t="inlineStr">
        <is>
          <t>CF0362</t>
        </is>
      </c>
      <c r="B363" t="inlineStr">
        <is>
          <t>No</t>
        </is>
      </c>
      <c r="C363" t="inlineStr">
        <is>
          <t>Yes</t>
        </is>
      </c>
    </row>
    <row r="364">
      <c r="A364" t="inlineStr">
        <is>
          <t>CF0363</t>
        </is>
      </c>
      <c r="B364" t="inlineStr">
        <is>
          <t>Yes</t>
        </is>
      </c>
      <c r="C364" t="inlineStr">
        <is>
          <t>Yes</t>
        </is>
      </c>
    </row>
    <row r="365">
      <c r="A365" t="inlineStr">
        <is>
          <t>CF0364</t>
        </is>
      </c>
      <c r="B365" t="inlineStr">
        <is>
          <t>No</t>
        </is>
      </c>
      <c r="C365" t="inlineStr">
        <is>
          <t>No</t>
        </is>
      </c>
    </row>
    <row r="366">
      <c r="A366" t="inlineStr">
        <is>
          <t>CF0365</t>
        </is>
      </c>
      <c r="B366" t="inlineStr">
        <is>
          <t>No</t>
        </is>
      </c>
      <c r="C366" t="inlineStr">
        <is>
          <t>Yes</t>
        </is>
      </c>
    </row>
    <row r="367">
      <c r="A367" t="inlineStr">
        <is>
          <t>CF0366</t>
        </is>
      </c>
      <c r="B367" t="inlineStr">
        <is>
          <t>No</t>
        </is>
      </c>
      <c r="C367" t="inlineStr">
        <is>
          <t>No</t>
        </is>
      </c>
    </row>
    <row r="368">
      <c r="A368" t="inlineStr">
        <is>
          <t>CF0367</t>
        </is>
      </c>
      <c r="B368" t="inlineStr">
        <is>
          <t>Yes</t>
        </is>
      </c>
      <c r="C368" t="inlineStr">
        <is>
          <t>No</t>
        </is>
      </c>
    </row>
    <row r="369">
      <c r="A369" t="inlineStr">
        <is>
          <t>CF0368</t>
        </is>
      </c>
      <c r="B369" t="inlineStr">
        <is>
          <t>No</t>
        </is>
      </c>
      <c r="C369" t="inlineStr">
        <is>
          <t>No</t>
        </is>
      </c>
    </row>
    <row r="370">
      <c r="A370" t="inlineStr">
        <is>
          <t>CF0369</t>
        </is>
      </c>
      <c r="B370" t="inlineStr">
        <is>
          <t>No</t>
        </is>
      </c>
      <c r="C370" t="inlineStr">
        <is>
          <t>No</t>
        </is>
      </c>
    </row>
    <row r="371">
      <c r="A371" t="inlineStr">
        <is>
          <t>CF0370</t>
        </is>
      </c>
      <c r="B371" t="inlineStr">
        <is>
          <t>No</t>
        </is>
      </c>
      <c r="C371" t="inlineStr">
        <is>
          <t>No</t>
        </is>
      </c>
    </row>
    <row r="372">
      <c r="A372" t="inlineStr">
        <is>
          <t>CF0371</t>
        </is>
      </c>
      <c r="B372" t="inlineStr">
        <is>
          <t>No</t>
        </is>
      </c>
      <c r="C372" t="inlineStr">
        <is>
          <t>No</t>
        </is>
      </c>
    </row>
    <row r="373">
      <c r="A373" t="inlineStr">
        <is>
          <t>CF0372</t>
        </is>
      </c>
      <c r="B373" t="inlineStr">
        <is>
          <t>No</t>
        </is>
      </c>
      <c r="C373" t="inlineStr">
        <is>
          <t>No</t>
        </is>
      </c>
    </row>
    <row r="374">
      <c r="A374" t="inlineStr">
        <is>
          <t>CF0373</t>
        </is>
      </c>
      <c r="B374" t="inlineStr">
        <is>
          <t>No</t>
        </is>
      </c>
      <c r="C374" t="inlineStr">
        <is>
          <t>Yes</t>
        </is>
      </c>
    </row>
    <row r="375">
      <c r="A375" t="inlineStr">
        <is>
          <t>CF0374</t>
        </is>
      </c>
      <c r="B375" t="inlineStr">
        <is>
          <t>No</t>
        </is>
      </c>
      <c r="C375" t="inlineStr">
        <is>
          <t>No</t>
        </is>
      </c>
    </row>
    <row r="376">
      <c r="A376" t="inlineStr">
        <is>
          <t>CF0375</t>
        </is>
      </c>
      <c r="B376" t="inlineStr">
        <is>
          <t>No</t>
        </is>
      </c>
      <c r="C376" t="inlineStr">
        <is>
          <t>No</t>
        </is>
      </c>
    </row>
    <row r="377">
      <c r="A377" t="inlineStr">
        <is>
          <t>CF0376</t>
        </is>
      </c>
      <c r="B377" t="inlineStr">
        <is>
          <t>No</t>
        </is>
      </c>
      <c r="C377" t="inlineStr">
        <is>
          <t>No</t>
        </is>
      </c>
    </row>
    <row r="378">
      <c r="A378" t="inlineStr">
        <is>
          <t>CF0377</t>
        </is>
      </c>
      <c r="B378" t="inlineStr">
        <is>
          <t>No</t>
        </is>
      </c>
      <c r="C378" t="inlineStr">
        <is>
          <t>No</t>
        </is>
      </c>
    </row>
    <row r="379">
      <c r="A379" t="inlineStr">
        <is>
          <t>CF0378</t>
        </is>
      </c>
      <c r="B379" t="inlineStr">
        <is>
          <t>No</t>
        </is>
      </c>
      <c r="C379" t="inlineStr">
        <is>
          <t>No</t>
        </is>
      </c>
    </row>
    <row r="380">
      <c r="A380" t="inlineStr">
        <is>
          <t>CF0379</t>
        </is>
      </c>
      <c r="B380" t="inlineStr">
        <is>
          <t>No</t>
        </is>
      </c>
      <c r="C380" t="inlineStr">
        <is>
          <t>No</t>
        </is>
      </c>
    </row>
    <row r="381">
      <c r="A381" t="inlineStr">
        <is>
          <t>CF0380</t>
        </is>
      </c>
      <c r="B381" t="inlineStr">
        <is>
          <t>No</t>
        </is>
      </c>
      <c r="C381" t="inlineStr">
        <is>
          <t>No</t>
        </is>
      </c>
    </row>
    <row r="382">
      <c r="A382" t="inlineStr">
        <is>
          <t>CF0381</t>
        </is>
      </c>
      <c r="B382" t="inlineStr">
        <is>
          <t>No</t>
        </is>
      </c>
      <c r="C382" t="inlineStr">
        <is>
          <t>No</t>
        </is>
      </c>
    </row>
    <row r="383">
      <c r="A383" t="inlineStr">
        <is>
          <t>CF0382</t>
        </is>
      </c>
      <c r="B383" t="inlineStr">
        <is>
          <t>Yes</t>
        </is>
      </c>
      <c r="C383" t="inlineStr">
        <is>
          <t>Yes</t>
        </is>
      </c>
    </row>
    <row r="384">
      <c r="A384" t="inlineStr">
        <is>
          <t>CF0383</t>
        </is>
      </c>
      <c r="B384" t="inlineStr">
        <is>
          <t>No</t>
        </is>
      </c>
      <c r="C384" t="inlineStr">
        <is>
          <t>Yes</t>
        </is>
      </c>
    </row>
    <row r="385">
      <c r="A385" t="inlineStr">
        <is>
          <t>CF0384</t>
        </is>
      </c>
      <c r="B385" t="inlineStr">
        <is>
          <t>No</t>
        </is>
      </c>
      <c r="C385" t="inlineStr">
        <is>
          <t>No</t>
        </is>
      </c>
    </row>
    <row r="386">
      <c r="A386" t="inlineStr">
        <is>
          <t>CF0385</t>
        </is>
      </c>
      <c r="B386" t="inlineStr">
        <is>
          <t>No</t>
        </is>
      </c>
      <c r="C386" t="inlineStr">
        <is>
          <t>No</t>
        </is>
      </c>
    </row>
    <row r="387">
      <c r="A387" t="inlineStr">
        <is>
          <t>CF0386</t>
        </is>
      </c>
      <c r="B387" t="inlineStr">
        <is>
          <t>No</t>
        </is>
      </c>
      <c r="C387" t="inlineStr">
        <is>
          <t>No</t>
        </is>
      </c>
    </row>
    <row r="388">
      <c r="A388" t="inlineStr">
        <is>
          <t>CF0387</t>
        </is>
      </c>
      <c r="B388" t="inlineStr">
        <is>
          <t>No</t>
        </is>
      </c>
      <c r="C388" t="inlineStr">
        <is>
          <t>No</t>
        </is>
      </c>
    </row>
    <row r="389">
      <c r="A389" t="inlineStr">
        <is>
          <t>CF0388</t>
        </is>
      </c>
      <c r="B389" t="inlineStr">
        <is>
          <t>No</t>
        </is>
      </c>
      <c r="C389" t="inlineStr">
        <is>
          <t>Yes</t>
        </is>
      </c>
    </row>
    <row r="390">
      <c r="A390" t="inlineStr">
        <is>
          <t>CF0389</t>
        </is>
      </c>
      <c r="B390" t="inlineStr">
        <is>
          <t>No</t>
        </is>
      </c>
      <c r="C390" t="inlineStr">
        <is>
          <t>No</t>
        </is>
      </c>
    </row>
    <row r="391">
      <c r="A391" t="inlineStr">
        <is>
          <t>CF0390</t>
        </is>
      </c>
      <c r="B391" t="inlineStr">
        <is>
          <t>No</t>
        </is>
      </c>
      <c r="C391" t="inlineStr">
        <is>
          <t>No</t>
        </is>
      </c>
    </row>
    <row r="392">
      <c r="A392" t="inlineStr">
        <is>
          <t>CF0391</t>
        </is>
      </c>
      <c r="B392" t="inlineStr">
        <is>
          <t>No</t>
        </is>
      </c>
      <c r="C392" t="inlineStr">
        <is>
          <t>No</t>
        </is>
      </c>
    </row>
    <row r="393">
      <c r="A393" t="inlineStr">
        <is>
          <t>CF0392</t>
        </is>
      </c>
      <c r="B393" t="inlineStr">
        <is>
          <t>No</t>
        </is>
      </c>
      <c r="C393" t="inlineStr">
        <is>
          <t>Yes</t>
        </is>
      </c>
    </row>
    <row r="394">
      <c r="A394" t="inlineStr">
        <is>
          <t>CF0393</t>
        </is>
      </c>
      <c r="B394" t="inlineStr">
        <is>
          <t>No</t>
        </is>
      </c>
      <c r="C394" t="inlineStr">
        <is>
          <t>No</t>
        </is>
      </c>
    </row>
    <row r="395">
      <c r="A395" t="inlineStr">
        <is>
          <t>CF0394</t>
        </is>
      </c>
      <c r="B395" t="inlineStr">
        <is>
          <t>No</t>
        </is>
      </c>
      <c r="C395" t="inlineStr">
        <is>
          <t>No</t>
        </is>
      </c>
    </row>
    <row r="396">
      <c r="A396" t="inlineStr">
        <is>
          <t>CF0395</t>
        </is>
      </c>
      <c r="B396" t="inlineStr">
        <is>
          <t>No</t>
        </is>
      </c>
      <c r="C396" t="inlineStr">
        <is>
          <t>No</t>
        </is>
      </c>
    </row>
    <row r="397">
      <c r="A397" t="inlineStr">
        <is>
          <t>CF0396</t>
        </is>
      </c>
      <c r="B397" t="inlineStr">
        <is>
          <t>No</t>
        </is>
      </c>
      <c r="C397" t="inlineStr">
        <is>
          <t>No</t>
        </is>
      </c>
    </row>
    <row r="398">
      <c r="A398" t="inlineStr">
        <is>
          <t>CF0397</t>
        </is>
      </c>
      <c r="B398" t="inlineStr">
        <is>
          <t>No</t>
        </is>
      </c>
      <c r="C398" t="inlineStr">
        <is>
          <t>No</t>
        </is>
      </c>
    </row>
    <row r="399">
      <c r="A399" t="inlineStr">
        <is>
          <t>CF0398</t>
        </is>
      </c>
      <c r="B399" t="inlineStr">
        <is>
          <t>Yes</t>
        </is>
      </c>
      <c r="C399" t="inlineStr">
        <is>
          <t>Yes</t>
        </is>
      </c>
    </row>
    <row r="400">
      <c r="A400" t="inlineStr">
        <is>
          <t>CF0399</t>
        </is>
      </c>
      <c r="B400" t="inlineStr">
        <is>
          <t>Yes</t>
        </is>
      </c>
      <c r="C400" t="inlineStr">
        <is>
          <t>No</t>
        </is>
      </c>
    </row>
    <row r="401">
      <c r="A401" t="inlineStr">
        <is>
          <t>CF0400</t>
        </is>
      </c>
      <c r="B401" t="inlineStr">
        <is>
          <t>No</t>
        </is>
      </c>
      <c r="C401" t="inlineStr">
        <is>
          <t>No</t>
        </is>
      </c>
    </row>
    <row r="402">
      <c r="A402" t="inlineStr">
        <is>
          <t>CF0401</t>
        </is>
      </c>
      <c r="B402" t="inlineStr">
        <is>
          <t>No</t>
        </is>
      </c>
      <c r="C402" t="inlineStr">
        <is>
          <t>No</t>
        </is>
      </c>
    </row>
    <row r="403">
      <c r="A403" t="inlineStr">
        <is>
          <t>CF0402</t>
        </is>
      </c>
      <c r="B403" t="inlineStr">
        <is>
          <t>No</t>
        </is>
      </c>
      <c r="C403" t="inlineStr">
        <is>
          <t>No</t>
        </is>
      </c>
    </row>
    <row r="404">
      <c r="A404" t="inlineStr">
        <is>
          <t>CF0403</t>
        </is>
      </c>
      <c r="B404" t="inlineStr">
        <is>
          <t>No</t>
        </is>
      </c>
      <c r="C404" t="inlineStr">
        <is>
          <t>No</t>
        </is>
      </c>
    </row>
    <row r="405">
      <c r="A405" t="inlineStr">
        <is>
          <t>CF0404</t>
        </is>
      </c>
      <c r="B405" t="inlineStr">
        <is>
          <t>No</t>
        </is>
      </c>
      <c r="C405" t="inlineStr">
        <is>
          <t>No</t>
        </is>
      </c>
    </row>
    <row r="406">
      <c r="A406" t="inlineStr">
        <is>
          <t>CF0405</t>
        </is>
      </c>
      <c r="B406" t="inlineStr">
        <is>
          <t>No</t>
        </is>
      </c>
      <c r="C406" t="inlineStr">
        <is>
          <t>No</t>
        </is>
      </c>
    </row>
    <row r="407">
      <c r="A407" t="inlineStr">
        <is>
          <t>CF0406</t>
        </is>
      </c>
      <c r="B407" t="inlineStr">
        <is>
          <t>No</t>
        </is>
      </c>
      <c r="C407" t="inlineStr">
        <is>
          <t>No</t>
        </is>
      </c>
    </row>
    <row r="408">
      <c r="A408" t="inlineStr">
        <is>
          <t>CF0407</t>
        </is>
      </c>
      <c r="B408" t="inlineStr">
        <is>
          <t>No</t>
        </is>
      </c>
      <c r="C408" t="inlineStr">
        <is>
          <t>No</t>
        </is>
      </c>
    </row>
    <row r="409">
      <c r="A409" t="inlineStr">
        <is>
          <t>CF0408</t>
        </is>
      </c>
      <c r="B409" t="inlineStr">
        <is>
          <t>No</t>
        </is>
      </c>
      <c r="C409" t="inlineStr">
        <is>
          <t>No</t>
        </is>
      </c>
    </row>
    <row r="410">
      <c r="A410" t="inlineStr">
        <is>
          <t>CF0409</t>
        </is>
      </c>
      <c r="B410" t="inlineStr">
        <is>
          <t>No</t>
        </is>
      </c>
      <c r="C410" t="inlineStr">
        <is>
          <t>No</t>
        </is>
      </c>
    </row>
    <row r="411">
      <c r="A411" t="inlineStr">
        <is>
          <t>CF0410</t>
        </is>
      </c>
      <c r="B411" t="inlineStr">
        <is>
          <t>No</t>
        </is>
      </c>
      <c r="C411" t="inlineStr">
        <is>
          <t>No</t>
        </is>
      </c>
    </row>
    <row r="412">
      <c r="A412" t="inlineStr">
        <is>
          <t>CF0411</t>
        </is>
      </c>
      <c r="B412" t="inlineStr">
        <is>
          <t>No</t>
        </is>
      </c>
      <c r="C412" t="inlineStr">
        <is>
          <t>No</t>
        </is>
      </c>
    </row>
    <row r="413">
      <c r="A413" t="inlineStr">
        <is>
          <t>CF0412</t>
        </is>
      </c>
      <c r="B413" t="inlineStr">
        <is>
          <t>No</t>
        </is>
      </c>
      <c r="C413" t="inlineStr">
        <is>
          <t>No</t>
        </is>
      </c>
    </row>
    <row r="414">
      <c r="A414" t="inlineStr">
        <is>
          <t>CF0413</t>
        </is>
      </c>
      <c r="B414" t="inlineStr">
        <is>
          <t>No</t>
        </is>
      </c>
      <c r="C414" t="inlineStr">
        <is>
          <t>No</t>
        </is>
      </c>
    </row>
    <row r="415">
      <c r="A415" t="inlineStr">
        <is>
          <t>CF0414</t>
        </is>
      </c>
      <c r="B415" t="inlineStr">
        <is>
          <t>No</t>
        </is>
      </c>
      <c r="C415" t="inlineStr">
        <is>
          <t>No</t>
        </is>
      </c>
    </row>
    <row r="416">
      <c r="A416" t="inlineStr">
        <is>
          <t>CF0415</t>
        </is>
      </c>
      <c r="B416" t="inlineStr">
        <is>
          <t>No</t>
        </is>
      </c>
      <c r="C416" t="inlineStr">
        <is>
          <t>No</t>
        </is>
      </c>
    </row>
    <row r="417">
      <c r="A417" t="inlineStr">
        <is>
          <t>CF0416</t>
        </is>
      </c>
      <c r="B417" t="inlineStr">
        <is>
          <t>No</t>
        </is>
      </c>
      <c r="C417" t="inlineStr">
        <is>
          <t>No</t>
        </is>
      </c>
    </row>
    <row r="418">
      <c r="A418" t="inlineStr">
        <is>
          <t>CF0417</t>
        </is>
      </c>
      <c r="B418" t="inlineStr">
        <is>
          <t>No</t>
        </is>
      </c>
      <c r="C418" t="inlineStr">
        <is>
          <t>No</t>
        </is>
      </c>
    </row>
    <row r="419">
      <c r="A419" t="inlineStr">
        <is>
          <t>CF0418</t>
        </is>
      </c>
      <c r="B419" t="inlineStr">
        <is>
          <t>No</t>
        </is>
      </c>
      <c r="C419" t="inlineStr">
        <is>
          <t>No</t>
        </is>
      </c>
    </row>
    <row r="420">
      <c r="A420" t="inlineStr">
        <is>
          <t>CF0419</t>
        </is>
      </c>
      <c r="B420" t="inlineStr">
        <is>
          <t>No</t>
        </is>
      </c>
      <c r="C420" t="inlineStr">
        <is>
          <t>No</t>
        </is>
      </c>
    </row>
    <row r="421">
      <c r="A421" t="inlineStr">
        <is>
          <t>CF0420</t>
        </is>
      </c>
      <c r="B421" t="inlineStr">
        <is>
          <t>No</t>
        </is>
      </c>
      <c r="C421" t="inlineStr">
        <is>
          <t>No</t>
        </is>
      </c>
    </row>
    <row r="422">
      <c r="A422" t="inlineStr">
        <is>
          <t>CF0421</t>
        </is>
      </c>
      <c r="B422" t="inlineStr">
        <is>
          <t>No</t>
        </is>
      </c>
      <c r="C422" t="inlineStr">
        <is>
          <t>No</t>
        </is>
      </c>
    </row>
    <row r="423">
      <c r="A423" t="inlineStr">
        <is>
          <t>CF0422</t>
        </is>
      </c>
      <c r="B423" t="inlineStr">
        <is>
          <t>No</t>
        </is>
      </c>
      <c r="C423" t="inlineStr">
        <is>
          <t>No</t>
        </is>
      </c>
    </row>
    <row r="424">
      <c r="A424" t="inlineStr">
        <is>
          <t>CF0423</t>
        </is>
      </c>
      <c r="B424" t="inlineStr">
        <is>
          <t>Yes</t>
        </is>
      </c>
      <c r="C424" t="inlineStr">
        <is>
          <t>No</t>
        </is>
      </c>
    </row>
    <row r="425">
      <c r="A425" t="inlineStr">
        <is>
          <t>CF0424</t>
        </is>
      </c>
      <c r="B425" t="inlineStr">
        <is>
          <t>No</t>
        </is>
      </c>
      <c r="C425" t="inlineStr">
        <is>
          <t>No</t>
        </is>
      </c>
    </row>
    <row r="426">
      <c r="A426" t="inlineStr">
        <is>
          <t>CF0425</t>
        </is>
      </c>
      <c r="B426" t="inlineStr">
        <is>
          <t>No</t>
        </is>
      </c>
      <c r="C426" t="inlineStr">
        <is>
          <t>No</t>
        </is>
      </c>
    </row>
    <row r="427">
      <c r="A427" t="inlineStr">
        <is>
          <t>CF0426</t>
        </is>
      </c>
      <c r="B427" t="inlineStr">
        <is>
          <t>Yes</t>
        </is>
      </c>
      <c r="C427" t="inlineStr">
        <is>
          <t>Yes</t>
        </is>
      </c>
    </row>
    <row r="428">
      <c r="A428" t="inlineStr">
        <is>
          <t>CF0427</t>
        </is>
      </c>
      <c r="B428" t="inlineStr">
        <is>
          <t>Yes</t>
        </is>
      </c>
      <c r="C428" t="inlineStr">
        <is>
          <t>Yes</t>
        </is>
      </c>
    </row>
    <row r="429">
      <c r="A429" t="inlineStr">
        <is>
          <t>CF0428</t>
        </is>
      </c>
      <c r="B429" t="inlineStr">
        <is>
          <t>Yes</t>
        </is>
      </c>
      <c r="C429" t="inlineStr">
        <is>
          <t>Yes</t>
        </is>
      </c>
    </row>
    <row r="430">
      <c r="A430" t="inlineStr">
        <is>
          <t>CF0429</t>
        </is>
      </c>
      <c r="B430" t="inlineStr">
        <is>
          <t>No</t>
        </is>
      </c>
      <c r="C430" t="inlineStr">
        <is>
          <t>No</t>
        </is>
      </c>
    </row>
    <row r="431">
      <c r="A431" t="inlineStr">
        <is>
          <t>CF0430</t>
        </is>
      </c>
      <c r="B431" t="inlineStr">
        <is>
          <t>No</t>
        </is>
      </c>
      <c r="C431" t="inlineStr">
        <is>
          <t>No</t>
        </is>
      </c>
    </row>
    <row r="432">
      <c r="A432" t="inlineStr">
        <is>
          <t>CF0431</t>
        </is>
      </c>
      <c r="B432" t="inlineStr">
        <is>
          <t>No</t>
        </is>
      </c>
      <c r="C432" t="inlineStr">
        <is>
          <t>No</t>
        </is>
      </c>
    </row>
    <row r="433">
      <c r="A433" t="inlineStr">
        <is>
          <t>CF0432</t>
        </is>
      </c>
      <c r="B433" t="inlineStr">
        <is>
          <t>No</t>
        </is>
      </c>
      <c r="C433" t="inlineStr">
        <is>
          <t>Yes</t>
        </is>
      </c>
    </row>
    <row r="434">
      <c r="A434" t="inlineStr">
        <is>
          <t>CF0433</t>
        </is>
      </c>
      <c r="B434" t="inlineStr">
        <is>
          <t>Yes</t>
        </is>
      </c>
      <c r="C434" t="inlineStr">
        <is>
          <t>Yes</t>
        </is>
      </c>
    </row>
    <row r="435">
      <c r="A435" t="inlineStr">
        <is>
          <t>CF0434</t>
        </is>
      </c>
      <c r="B435" t="inlineStr">
        <is>
          <t>No</t>
        </is>
      </c>
      <c r="C435" t="inlineStr">
        <is>
          <t>No</t>
        </is>
      </c>
    </row>
    <row r="436">
      <c r="A436" t="inlineStr">
        <is>
          <t>CF0435</t>
        </is>
      </c>
      <c r="B436" t="inlineStr">
        <is>
          <t>No</t>
        </is>
      </c>
      <c r="C436" t="inlineStr">
        <is>
          <t>No</t>
        </is>
      </c>
    </row>
    <row r="437">
      <c r="A437" t="inlineStr">
        <is>
          <t>CF0436</t>
        </is>
      </c>
      <c r="B437" t="inlineStr">
        <is>
          <t>No</t>
        </is>
      </c>
      <c r="C437" t="inlineStr">
        <is>
          <t>No</t>
        </is>
      </c>
    </row>
    <row r="438">
      <c r="A438" t="inlineStr">
        <is>
          <t>CF0437</t>
        </is>
      </c>
      <c r="B438" t="inlineStr">
        <is>
          <t>No</t>
        </is>
      </c>
      <c r="C438" t="inlineStr">
        <is>
          <t>No</t>
        </is>
      </c>
    </row>
    <row r="439">
      <c r="A439" t="inlineStr">
        <is>
          <t>CF0438</t>
        </is>
      </c>
      <c r="B439" t="inlineStr">
        <is>
          <t>No</t>
        </is>
      </c>
      <c r="C439" t="inlineStr">
        <is>
          <t>No</t>
        </is>
      </c>
    </row>
    <row r="440">
      <c r="A440" t="inlineStr">
        <is>
          <t>CF0439</t>
        </is>
      </c>
      <c r="B440" t="inlineStr">
        <is>
          <t>No</t>
        </is>
      </c>
      <c r="C440" t="inlineStr">
        <is>
          <t>No</t>
        </is>
      </c>
    </row>
    <row r="441">
      <c r="A441" t="inlineStr">
        <is>
          <t>CF0440</t>
        </is>
      </c>
      <c r="B441" t="inlineStr">
        <is>
          <t>No</t>
        </is>
      </c>
      <c r="C441" t="inlineStr">
        <is>
          <t>No</t>
        </is>
      </c>
    </row>
    <row r="442">
      <c r="A442" t="inlineStr">
        <is>
          <t>CF0441</t>
        </is>
      </c>
      <c r="B442" t="inlineStr">
        <is>
          <t>No</t>
        </is>
      </c>
      <c r="C442" t="inlineStr">
        <is>
          <t>No</t>
        </is>
      </c>
    </row>
    <row r="443">
      <c r="A443" t="inlineStr">
        <is>
          <t>CF0442</t>
        </is>
      </c>
      <c r="B443" t="inlineStr">
        <is>
          <t>No</t>
        </is>
      </c>
      <c r="C443" t="inlineStr">
        <is>
          <t>No</t>
        </is>
      </c>
    </row>
    <row r="444">
      <c r="A444" t="inlineStr">
        <is>
          <t>CF0443</t>
        </is>
      </c>
      <c r="B444" t="inlineStr">
        <is>
          <t>No</t>
        </is>
      </c>
      <c r="C444" t="inlineStr">
        <is>
          <t>No</t>
        </is>
      </c>
    </row>
    <row r="445">
      <c r="A445" t="inlineStr">
        <is>
          <t>CF0444</t>
        </is>
      </c>
      <c r="B445" t="inlineStr">
        <is>
          <t>Yes</t>
        </is>
      </c>
      <c r="C445" t="inlineStr">
        <is>
          <t>Yes</t>
        </is>
      </c>
    </row>
    <row r="446">
      <c r="A446" t="inlineStr">
        <is>
          <t>CF0445</t>
        </is>
      </c>
      <c r="B446" t="inlineStr">
        <is>
          <t>No</t>
        </is>
      </c>
      <c r="C446" t="inlineStr">
        <is>
          <t>Yes</t>
        </is>
      </c>
    </row>
    <row r="447">
      <c r="A447" t="inlineStr">
        <is>
          <t>CF0446</t>
        </is>
      </c>
      <c r="B447" t="inlineStr">
        <is>
          <t>No</t>
        </is>
      </c>
      <c r="C447" t="inlineStr">
        <is>
          <t>No</t>
        </is>
      </c>
    </row>
    <row r="448">
      <c r="A448" t="inlineStr">
        <is>
          <t>CF0447</t>
        </is>
      </c>
      <c r="B448" t="inlineStr">
        <is>
          <t>No</t>
        </is>
      </c>
      <c r="C448" t="inlineStr">
        <is>
          <t>Yes</t>
        </is>
      </c>
    </row>
    <row r="449">
      <c r="A449" t="inlineStr">
        <is>
          <t>CF0448</t>
        </is>
      </c>
      <c r="B449" t="inlineStr">
        <is>
          <t>No</t>
        </is>
      </c>
      <c r="C449" t="inlineStr">
        <is>
          <t>Yes</t>
        </is>
      </c>
    </row>
    <row r="450">
      <c r="A450" t="inlineStr">
        <is>
          <t>CF0449</t>
        </is>
      </c>
      <c r="B450" t="inlineStr">
        <is>
          <t>Yes</t>
        </is>
      </c>
      <c r="C450" t="inlineStr">
        <is>
          <t>Yes</t>
        </is>
      </c>
    </row>
    <row r="451">
      <c r="A451" t="inlineStr">
        <is>
          <t>CF0450</t>
        </is>
      </c>
      <c r="B451" t="inlineStr">
        <is>
          <t>No</t>
        </is>
      </c>
      <c r="C451" t="inlineStr">
        <is>
          <t>No</t>
        </is>
      </c>
    </row>
    <row r="452">
      <c r="A452" t="inlineStr">
        <is>
          <t>CF0451</t>
        </is>
      </c>
      <c r="B452" t="inlineStr">
        <is>
          <t>Yes</t>
        </is>
      </c>
      <c r="C452" t="inlineStr">
        <is>
          <t>No</t>
        </is>
      </c>
    </row>
    <row r="453">
      <c r="A453" t="inlineStr">
        <is>
          <t>CF0452</t>
        </is>
      </c>
      <c r="B453" t="inlineStr">
        <is>
          <t>No</t>
        </is>
      </c>
      <c r="C453" t="inlineStr">
        <is>
          <t>Yes</t>
        </is>
      </c>
    </row>
    <row r="454">
      <c r="A454" t="inlineStr">
        <is>
          <t>CF0453</t>
        </is>
      </c>
      <c r="B454" t="inlineStr">
        <is>
          <t>No</t>
        </is>
      </c>
      <c r="C454" t="inlineStr">
        <is>
          <t>No</t>
        </is>
      </c>
    </row>
    <row r="455">
      <c r="A455" t="inlineStr">
        <is>
          <t>CF0454</t>
        </is>
      </c>
      <c r="B455" t="inlineStr">
        <is>
          <t>No</t>
        </is>
      </c>
      <c r="C455" t="inlineStr">
        <is>
          <t>Yes</t>
        </is>
      </c>
    </row>
    <row r="456">
      <c r="A456" t="inlineStr">
        <is>
          <t>CF0455</t>
        </is>
      </c>
      <c r="B456" t="inlineStr">
        <is>
          <t>No</t>
        </is>
      </c>
      <c r="C456" t="inlineStr">
        <is>
          <t>Yes</t>
        </is>
      </c>
    </row>
    <row r="457">
      <c r="A457" t="inlineStr">
        <is>
          <t>CF0456</t>
        </is>
      </c>
      <c r="B457" t="inlineStr">
        <is>
          <t>No</t>
        </is>
      </c>
      <c r="C457" t="inlineStr">
        <is>
          <t>No</t>
        </is>
      </c>
    </row>
    <row r="458">
      <c r="A458" t="inlineStr">
        <is>
          <t>CF0457</t>
        </is>
      </c>
      <c r="B458" t="inlineStr">
        <is>
          <t>No</t>
        </is>
      </c>
      <c r="C458" t="inlineStr">
        <is>
          <t>No</t>
        </is>
      </c>
    </row>
    <row r="459">
      <c r="A459" t="inlineStr">
        <is>
          <t>CF0458</t>
        </is>
      </c>
      <c r="B459" t="inlineStr">
        <is>
          <t>No</t>
        </is>
      </c>
      <c r="C459" t="inlineStr">
        <is>
          <t>No</t>
        </is>
      </c>
    </row>
    <row r="460">
      <c r="A460" t="inlineStr">
        <is>
          <t>CF0459</t>
        </is>
      </c>
      <c r="B460" t="inlineStr">
        <is>
          <t>No</t>
        </is>
      </c>
      <c r="C460" t="inlineStr">
        <is>
          <t>No</t>
        </is>
      </c>
    </row>
    <row r="461">
      <c r="A461" t="inlineStr">
        <is>
          <t>CF0460</t>
        </is>
      </c>
      <c r="B461" t="inlineStr">
        <is>
          <t>No</t>
        </is>
      </c>
      <c r="C461" t="inlineStr">
        <is>
          <t>No</t>
        </is>
      </c>
    </row>
    <row r="462">
      <c r="A462" t="inlineStr">
        <is>
          <t>CF0461</t>
        </is>
      </c>
      <c r="B462" t="inlineStr">
        <is>
          <t>No</t>
        </is>
      </c>
      <c r="C462" t="inlineStr">
        <is>
          <t>Yes</t>
        </is>
      </c>
    </row>
    <row r="463">
      <c r="A463" t="inlineStr">
        <is>
          <t>CF0462</t>
        </is>
      </c>
      <c r="B463" t="inlineStr">
        <is>
          <t>No</t>
        </is>
      </c>
      <c r="C463" t="inlineStr">
        <is>
          <t>No</t>
        </is>
      </c>
    </row>
    <row r="464">
      <c r="A464" t="inlineStr">
        <is>
          <t>CF0463</t>
        </is>
      </c>
      <c r="B464" t="inlineStr">
        <is>
          <t>No</t>
        </is>
      </c>
      <c r="C464" t="inlineStr">
        <is>
          <t>No</t>
        </is>
      </c>
    </row>
    <row r="465">
      <c r="A465" t="inlineStr">
        <is>
          <t>CF0464</t>
        </is>
      </c>
      <c r="B465" t="inlineStr">
        <is>
          <t>No</t>
        </is>
      </c>
      <c r="C465" t="inlineStr">
        <is>
          <t>No</t>
        </is>
      </c>
    </row>
    <row r="466">
      <c r="A466" t="inlineStr">
        <is>
          <t>CF0465</t>
        </is>
      </c>
      <c r="B466" t="inlineStr">
        <is>
          <t>No</t>
        </is>
      </c>
      <c r="C466" t="inlineStr">
        <is>
          <t>No</t>
        </is>
      </c>
    </row>
    <row r="467">
      <c r="A467" t="inlineStr">
        <is>
          <t>CF0466</t>
        </is>
      </c>
      <c r="B467" t="inlineStr">
        <is>
          <t>No</t>
        </is>
      </c>
      <c r="C467" t="inlineStr">
        <is>
          <t>No</t>
        </is>
      </c>
    </row>
    <row r="468">
      <c r="A468" t="inlineStr">
        <is>
          <t>CF0467</t>
        </is>
      </c>
      <c r="B468" t="inlineStr">
        <is>
          <t>No</t>
        </is>
      </c>
      <c r="C468" t="inlineStr">
        <is>
          <t>No</t>
        </is>
      </c>
    </row>
    <row r="469">
      <c r="A469" t="inlineStr">
        <is>
          <t>CF0468</t>
        </is>
      </c>
      <c r="B469" t="inlineStr">
        <is>
          <t>No</t>
        </is>
      </c>
      <c r="C469" t="inlineStr">
        <is>
          <t>No</t>
        </is>
      </c>
    </row>
    <row r="470">
      <c r="A470" t="inlineStr">
        <is>
          <t>CF0469</t>
        </is>
      </c>
      <c r="B470" t="inlineStr">
        <is>
          <t>No</t>
        </is>
      </c>
      <c r="C470" t="inlineStr">
        <is>
          <t>No</t>
        </is>
      </c>
    </row>
    <row r="471">
      <c r="A471" t="inlineStr">
        <is>
          <t>CF0470</t>
        </is>
      </c>
      <c r="B471" t="inlineStr">
        <is>
          <t>No</t>
        </is>
      </c>
      <c r="C471" t="inlineStr">
        <is>
          <t>No</t>
        </is>
      </c>
    </row>
    <row r="472">
      <c r="A472" t="inlineStr">
        <is>
          <t>CF0471</t>
        </is>
      </c>
      <c r="B472" t="inlineStr">
        <is>
          <t>No</t>
        </is>
      </c>
      <c r="C472" t="inlineStr">
        <is>
          <t>No</t>
        </is>
      </c>
    </row>
    <row r="473">
      <c r="A473" t="inlineStr">
        <is>
          <t>CF0472</t>
        </is>
      </c>
      <c r="B473" t="inlineStr">
        <is>
          <t>No</t>
        </is>
      </c>
      <c r="C473" t="inlineStr">
        <is>
          <t>No</t>
        </is>
      </c>
    </row>
    <row r="474">
      <c r="A474" t="inlineStr">
        <is>
          <t>CF0473</t>
        </is>
      </c>
      <c r="B474" t="inlineStr">
        <is>
          <t>No</t>
        </is>
      </c>
      <c r="C474" t="inlineStr">
        <is>
          <t>No</t>
        </is>
      </c>
    </row>
    <row r="475">
      <c r="A475" t="inlineStr">
        <is>
          <t>CF0474</t>
        </is>
      </c>
      <c r="B475" t="inlineStr">
        <is>
          <t>Yes</t>
        </is>
      </c>
      <c r="C475" t="inlineStr">
        <is>
          <t>Yes</t>
        </is>
      </c>
    </row>
    <row r="476">
      <c r="A476" t="inlineStr">
        <is>
          <t>CF0475</t>
        </is>
      </c>
      <c r="B476" t="inlineStr">
        <is>
          <t>No</t>
        </is>
      </c>
      <c r="C476" t="inlineStr">
        <is>
          <t>No</t>
        </is>
      </c>
    </row>
    <row r="477">
      <c r="A477" t="inlineStr">
        <is>
          <t>CF0476</t>
        </is>
      </c>
      <c r="B477" t="inlineStr">
        <is>
          <t>No</t>
        </is>
      </c>
      <c r="C477" t="inlineStr">
        <is>
          <t>No</t>
        </is>
      </c>
    </row>
    <row r="478">
      <c r="A478" t="inlineStr">
        <is>
          <t>CF0477</t>
        </is>
      </c>
      <c r="B478" t="inlineStr">
        <is>
          <t>No</t>
        </is>
      </c>
      <c r="C478" t="inlineStr">
        <is>
          <t>No</t>
        </is>
      </c>
    </row>
    <row r="479">
      <c r="A479" t="inlineStr">
        <is>
          <t>CF0478</t>
        </is>
      </c>
      <c r="B479" t="inlineStr">
        <is>
          <t>No</t>
        </is>
      </c>
      <c r="C479" t="inlineStr">
        <is>
          <t>No</t>
        </is>
      </c>
    </row>
    <row r="480">
      <c r="A480" t="inlineStr">
        <is>
          <t>CF0479</t>
        </is>
      </c>
      <c r="B480" t="inlineStr">
        <is>
          <t>No</t>
        </is>
      </c>
      <c r="C480" t="inlineStr">
        <is>
          <t>Yes</t>
        </is>
      </c>
    </row>
    <row r="481">
      <c r="A481" t="inlineStr">
        <is>
          <t>CF0480</t>
        </is>
      </c>
      <c r="B481" t="inlineStr">
        <is>
          <t>No</t>
        </is>
      </c>
      <c r="C481" t="inlineStr">
        <is>
          <t>No</t>
        </is>
      </c>
    </row>
    <row r="482">
      <c r="A482" t="inlineStr">
        <is>
          <t>CF0481</t>
        </is>
      </c>
      <c r="B482" t="inlineStr">
        <is>
          <t>No</t>
        </is>
      </c>
      <c r="C482" t="inlineStr">
        <is>
          <t>No</t>
        </is>
      </c>
    </row>
    <row r="483">
      <c r="A483" t="inlineStr">
        <is>
          <t>CF0482</t>
        </is>
      </c>
      <c r="B483" t="inlineStr">
        <is>
          <t>No</t>
        </is>
      </c>
      <c r="C483" t="inlineStr">
        <is>
          <t>No</t>
        </is>
      </c>
    </row>
    <row r="484">
      <c r="A484" t="inlineStr">
        <is>
          <t>CF0483</t>
        </is>
      </c>
      <c r="B484" t="inlineStr">
        <is>
          <t>No</t>
        </is>
      </c>
      <c r="C484" t="inlineStr">
        <is>
          <t>No</t>
        </is>
      </c>
    </row>
    <row r="485">
      <c r="A485" t="inlineStr">
        <is>
          <t>CF0484</t>
        </is>
      </c>
      <c r="B485" t="inlineStr">
        <is>
          <t>No</t>
        </is>
      </c>
      <c r="C485" t="inlineStr">
        <is>
          <t>No</t>
        </is>
      </c>
    </row>
    <row r="486">
      <c r="A486" t="inlineStr">
        <is>
          <t>CF0485</t>
        </is>
      </c>
      <c r="B486" t="inlineStr">
        <is>
          <t>No</t>
        </is>
      </c>
      <c r="C486" t="inlineStr">
        <is>
          <t>No</t>
        </is>
      </c>
    </row>
    <row r="487">
      <c r="A487" t="inlineStr">
        <is>
          <t>CF0486</t>
        </is>
      </c>
      <c r="B487" t="inlineStr">
        <is>
          <t>No</t>
        </is>
      </c>
      <c r="C487" t="inlineStr">
        <is>
          <t>No</t>
        </is>
      </c>
    </row>
    <row r="488">
      <c r="A488" t="inlineStr">
        <is>
          <t>CF0487</t>
        </is>
      </c>
      <c r="B488" t="inlineStr">
        <is>
          <t>No</t>
        </is>
      </c>
      <c r="C488" t="inlineStr">
        <is>
          <t>Yes</t>
        </is>
      </c>
    </row>
    <row r="489">
      <c r="A489" t="inlineStr">
        <is>
          <t>CF0488</t>
        </is>
      </c>
      <c r="B489" t="inlineStr">
        <is>
          <t>No</t>
        </is>
      </c>
      <c r="C489" t="inlineStr">
        <is>
          <t>No</t>
        </is>
      </c>
    </row>
    <row r="490">
      <c r="A490" t="inlineStr">
        <is>
          <t>CF0489</t>
        </is>
      </c>
      <c r="B490" t="inlineStr">
        <is>
          <t>No</t>
        </is>
      </c>
      <c r="C490" t="inlineStr">
        <is>
          <t>No</t>
        </is>
      </c>
    </row>
    <row r="491">
      <c r="A491" t="inlineStr">
        <is>
          <t>CF0490</t>
        </is>
      </c>
      <c r="B491" t="inlineStr">
        <is>
          <t>No</t>
        </is>
      </c>
      <c r="C491" t="inlineStr">
        <is>
          <t>Yes</t>
        </is>
      </c>
    </row>
    <row r="492">
      <c r="A492" t="inlineStr">
        <is>
          <t>CF0491</t>
        </is>
      </c>
      <c r="B492" t="inlineStr">
        <is>
          <t>No</t>
        </is>
      </c>
      <c r="C492" t="inlineStr">
        <is>
          <t>Yes</t>
        </is>
      </c>
    </row>
    <row r="493">
      <c r="A493" t="inlineStr">
        <is>
          <t>CF0492</t>
        </is>
      </c>
      <c r="B493" t="inlineStr">
        <is>
          <t>No</t>
        </is>
      </c>
      <c r="C493" t="inlineStr">
        <is>
          <t>No</t>
        </is>
      </c>
    </row>
    <row r="494">
      <c r="A494" t="inlineStr">
        <is>
          <t>CF0493</t>
        </is>
      </c>
      <c r="B494" t="inlineStr">
        <is>
          <t>No</t>
        </is>
      </c>
      <c r="C494" t="inlineStr">
        <is>
          <t>No</t>
        </is>
      </c>
    </row>
    <row r="495">
      <c r="A495" t="inlineStr">
        <is>
          <t>CF0494</t>
        </is>
      </c>
      <c r="B495" t="inlineStr">
        <is>
          <t>No</t>
        </is>
      </c>
      <c r="C495" t="inlineStr">
        <is>
          <t>Yes</t>
        </is>
      </c>
    </row>
    <row r="496">
      <c r="A496" t="inlineStr">
        <is>
          <t>CF0495</t>
        </is>
      </c>
      <c r="B496" t="inlineStr">
        <is>
          <t>No</t>
        </is>
      </c>
      <c r="C496" t="inlineStr">
        <is>
          <t>No</t>
        </is>
      </c>
    </row>
    <row r="497">
      <c r="A497" t="inlineStr">
        <is>
          <t>CF0496</t>
        </is>
      </c>
      <c r="B497" t="inlineStr">
        <is>
          <t>No</t>
        </is>
      </c>
      <c r="C497" t="inlineStr">
        <is>
          <t>No</t>
        </is>
      </c>
    </row>
    <row r="498">
      <c r="A498" t="inlineStr">
        <is>
          <t>CF0497</t>
        </is>
      </c>
      <c r="B498" t="inlineStr">
        <is>
          <t>No</t>
        </is>
      </c>
      <c r="C498" t="inlineStr">
        <is>
          <t>Yes</t>
        </is>
      </c>
    </row>
    <row r="499">
      <c r="A499" t="inlineStr">
        <is>
          <t>CF0498</t>
        </is>
      </c>
      <c r="B499" t="inlineStr">
        <is>
          <t>No</t>
        </is>
      </c>
      <c r="C499" t="inlineStr">
        <is>
          <t>Yes</t>
        </is>
      </c>
    </row>
    <row r="500">
      <c r="A500" t="inlineStr">
        <is>
          <t>CF0499</t>
        </is>
      </c>
      <c r="B500" t="inlineStr">
        <is>
          <t>No</t>
        </is>
      </c>
      <c r="C500" t="inlineStr">
        <is>
          <t>Yes</t>
        </is>
      </c>
    </row>
    <row r="501">
      <c r="A501" t="inlineStr">
        <is>
          <t>CF0500</t>
        </is>
      </c>
      <c r="B501" t="inlineStr">
        <is>
          <t>No</t>
        </is>
      </c>
      <c r="C501" t="inlineStr">
        <is>
          <t>No</t>
        </is>
      </c>
    </row>
    <row r="502">
      <c r="A502" t="inlineStr">
        <is>
          <t>CF0501</t>
        </is>
      </c>
      <c r="B502" t="inlineStr">
        <is>
          <t>No</t>
        </is>
      </c>
      <c r="C502" t="inlineStr">
        <is>
          <t>No</t>
        </is>
      </c>
    </row>
    <row r="503">
      <c r="A503" t="inlineStr">
        <is>
          <t>CF0502</t>
        </is>
      </c>
      <c r="B503" t="inlineStr">
        <is>
          <t>No</t>
        </is>
      </c>
      <c r="C503" t="inlineStr">
        <is>
          <t>No</t>
        </is>
      </c>
    </row>
    <row r="504">
      <c r="A504" t="inlineStr">
        <is>
          <t>CF0503</t>
        </is>
      </c>
      <c r="B504" t="inlineStr">
        <is>
          <t>No</t>
        </is>
      </c>
      <c r="C504" t="inlineStr">
        <is>
          <t>No</t>
        </is>
      </c>
    </row>
    <row r="505">
      <c r="A505" t="inlineStr">
        <is>
          <t>CF0504</t>
        </is>
      </c>
      <c r="B505" t="inlineStr">
        <is>
          <t>Yes</t>
        </is>
      </c>
      <c r="C505" t="inlineStr">
        <is>
          <t>Yes</t>
        </is>
      </c>
    </row>
    <row r="506">
      <c r="A506" t="inlineStr">
        <is>
          <t>CF0505</t>
        </is>
      </c>
      <c r="B506" t="inlineStr">
        <is>
          <t>No</t>
        </is>
      </c>
      <c r="C506" t="inlineStr">
        <is>
          <t>No</t>
        </is>
      </c>
    </row>
    <row r="507">
      <c r="A507" t="inlineStr">
        <is>
          <t>CF0506</t>
        </is>
      </c>
      <c r="B507" t="inlineStr">
        <is>
          <t>No</t>
        </is>
      </c>
      <c r="C507" t="inlineStr">
        <is>
          <t>No</t>
        </is>
      </c>
    </row>
    <row r="508">
      <c r="A508" t="inlineStr">
        <is>
          <t>CF0507</t>
        </is>
      </c>
      <c r="B508" t="inlineStr">
        <is>
          <t>No</t>
        </is>
      </c>
      <c r="C508" t="inlineStr">
        <is>
          <t>No</t>
        </is>
      </c>
    </row>
    <row r="509">
      <c r="A509" t="inlineStr">
        <is>
          <t>CF0508</t>
        </is>
      </c>
      <c r="B509" t="inlineStr">
        <is>
          <t>No</t>
        </is>
      </c>
      <c r="C509" t="inlineStr">
        <is>
          <t>No</t>
        </is>
      </c>
    </row>
    <row r="510">
      <c r="A510" t="inlineStr">
        <is>
          <t>CF0509</t>
        </is>
      </c>
      <c r="B510" t="inlineStr">
        <is>
          <t>No</t>
        </is>
      </c>
      <c r="C510" t="inlineStr">
        <is>
          <t>No</t>
        </is>
      </c>
    </row>
    <row r="511">
      <c r="A511" t="inlineStr">
        <is>
          <t>CF0510</t>
        </is>
      </c>
      <c r="B511" t="inlineStr">
        <is>
          <t>No</t>
        </is>
      </c>
      <c r="C511" t="inlineStr">
        <is>
          <t>No</t>
        </is>
      </c>
    </row>
    <row r="512">
      <c r="A512" t="inlineStr">
        <is>
          <t>CF0511</t>
        </is>
      </c>
      <c r="B512" t="inlineStr">
        <is>
          <t>No</t>
        </is>
      </c>
      <c r="C512" t="inlineStr">
        <is>
          <t>No</t>
        </is>
      </c>
    </row>
    <row r="513">
      <c r="A513" t="inlineStr">
        <is>
          <t>CF0512</t>
        </is>
      </c>
      <c r="B513" t="inlineStr">
        <is>
          <t>No</t>
        </is>
      </c>
      <c r="C513" t="inlineStr">
        <is>
          <t>No</t>
        </is>
      </c>
    </row>
    <row r="514">
      <c r="A514" t="inlineStr">
        <is>
          <t>CF0513</t>
        </is>
      </c>
      <c r="B514" t="inlineStr">
        <is>
          <t>No</t>
        </is>
      </c>
      <c r="C514" t="inlineStr">
        <is>
          <t>No</t>
        </is>
      </c>
    </row>
    <row r="515">
      <c r="A515" t="inlineStr">
        <is>
          <t>CF0514</t>
        </is>
      </c>
      <c r="B515" t="inlineStr">
        <is>
          <t>No</t>
        </is>
      </c>
      <c r="C515" t="inlineStr">
        <is>
          <t>No</t>
        </is>
      </c>
    </row>
    <row r="516">
      <c r="A516" t="inlineStr">
        <is>
          <t>CF0515</t>
        </is>
      </c>
      <c r="B516" t="inlineStr">
        <is>
          <t>No</t>
        </is>
      </c>
      <c r="C516" t="inlineStr">
        <is>
          <t>No</t>
        </is>
      </c>
    </row>
    <row r="517">
      <c r="A517" t="inlineStr">
        <is>
          <t>CF0516</t>
        </is>
      </c>
      <c r="B517" t="inlineStr">
        <is>
          <t>Yes</t>
        </is>
      </c>
      <c r="C517" t="inlineStr">
        <is>
          <t>Yes</t>
        </is>
      </c>
    </row>
    <row r="518">
      <c r="A518" t="inlineStr">
        <is>
          <t>CF0517</t>
        </is>
      </c>
      <c r="B518" t="inlineStr">
        <is>
          <t>Yes</t>
        </is>
      </c>
      <c r="C518" t="inlineStr">
        <is>
          <t>Yes</t>
        </is>
      </c>
    </row>
    <row r="519">
      <c r="A519" t="inlineStr">
        <is>
          <t>CF0518</t>
        </is>
      </c>
      <c r="B519" t="inlineStr">
        <is>
          <t>No</t>
        </is>
      </c>
      <c r="C519" t="inlineStr">
        <is>
          <t>No</t>
        </is>
      </c>
    </row>
    <row r="520">
      <c r="A520" t="inlineStr">
        <is>
          <t>CF0519</t>
        </is>
      </c>
      <c r="B520" t="inlineStr">
        <is>
          <t>No</t>
        </is>
      </c>
      <c r="C520" t="inlineStr">
        <is>
          <t>No</t>
        </is>
      </c>
    </row>
    <row r="521">
      <c r="A521" t="inlineStr">
        <is>
          <t>CF0520</t>
        </is>
      </c>
      <c r="B521" t="inlineStr">
        <is>
          <t>Yes</t>
        </is>
      </c>
      <c r="C521" t="inlineStr">
        <is>
          <t>Yes</t>
        </is>
      </c>
    </row>
    <row r="522">
      <c r="A522" t="inlineStr">
        <is>
          <t>CF0521</t>
        </is>
      </c>
      <c r="B522" t="inlineStr">
        <is>
          <t>No</t>
        </is>
      </c>
      <c r="C522" t="inlineStr">
        <is>
          <t>No</t>
        </is>
      </c>
    </row>
    <row r="523">
      <c r="A523" t="inlineStr">
        <is>
          <t>CF0522</t>
        </is>
      </c>
      <c r="B523" t="inlineStr">
        <is>
          <t>No</t>
        </is>
      </c>
      <c r="C523" t="inlineStr">
        <is>
          <t>Yes</t>
        </is>
      </c>
    </row>
    <row r="524">
      <c r="A524" t="inlineStr">
        <is>
          <t>CF0523</t>
        </is>
      </c>
      <c r="B524" t="inlineStr">
        <is>
          <t>No</t>
        </is>
      </c>
      <c r="C524" t="inlineStr">
        <is>
          <t>No</t>
        </is>
      </c>
    </row>
    <row r="525">
      <c r="A525" t="inlineStr">
        <is>
          <t>CF0524</t>
        </is>
      </c>
      <c r="B525" t="inlineStr">
        <is>
          <t>No</t>
        </is>
      </c>
      <c r="C525" t="inlineStr">
        <is>
          <t>No</t>
        </is>
      </c>
    </row>
    <row r="526">
      <c r="A526" t="inlineStr">
        <is>
          <t>CF0525</t>
        </is>
      </c>
      <c r="B526" t="inlineStr">
        <is>
          <t>No</t>
        </is>
      </c>
      <c r="C526" t="inlineStr">
        <is>
          <t>Yes</t>
        </is>
      </c>
    </row>
    <row r="527">
      <c r="A527" t="inlineStr">
        <is>
          <t>CF0526</t>
        </is>
      </c>
      <c r="B527" t="inlineStr">
        <is>
          <t>No</t>
        </is>
      </c>
      <c r="C527" t="inlineStr">
        <is>
          <t>No</t>
        </is>
      </c>
    </row>
    <row r="528">
      <c r="A528" t="inlineStr">
        <is>
          <t>CF0527</t>
        </is>
      </c>
      <c r="B528" t="inlineStr">
        <is>
          <t>No</t>
        </is>
      </c>
      <c r="C528" t="inlineStr">
        <is>
          <t>Yes</t>
        </is>
      </c>
    </row>
    <row r="529">
      <c r="A529" t="inlineStr">
        <is>
          <t>CF0528</t>
        </is>
      </c>
      <c r="B529" t="inlineStr">
        <is>
          <t>No</t>
        </is>
      </c>
      <c r="C529" t="inlineStr">
        <is>
          <t>No</t>
        </is>
      </c>
    </row>
    <row r="530">
      <c r="A530" t="inlineStr">
        <is>
          <t>CF0529</t>
        </is>
      </c>
      <c r="B530" t="inlineStr">
        <is>
          <t>Yes</t>
        </is>
      </c>
      <c r="C530" t="inlineStr">
        <is>
          <t>Yes</t>
        </is>
      </c>
    </row>
    <row r="531">
      <c r="A531" t="inlineStr">
        <is>
          <t>CF0530</t>
        </is>
      </c>
      <c r="B531" t="inlineStr">
        <is>
          <t>No</t>
        </is>
      </c>
      <c r="C531" t="inlineStr">
        <is>
          <t>No</t>
        </is>
      </c>
    </row>
    <row r="532">
      <c r="A532" t="inlineStr">
        <is>
          <t>CF0531</t>
        </is>
      </c>
      <c r="B532" t="inlineStr">
        <is>
          <t>No</t>
        </is>
      </c>
      <c r="C532" t="inlineStr">
        <is>
          <t>Yes</t>
        </is>
      </c>
    </row>
    <row r="533">
      <c r="A533" t="inlineStr">
        <is>
          <t>CF0532</t>
        </is>
      </c>
      <c r="B533" t="inlineStr">
        <is>
          <t>No</t>
        </is>
      </c>
      <c r="C533" t="inlineStr">
        <is>
          <t>No</t>
        </is>
      </c>
    </row>
    <row r="534">
      <c r="A534" t="inlineStr">
        <is>
          <t>CF0533</t>
        </is>
      </c>
      <c r="B534" t="inlineStr">
        <is>
          <t>No</t>
        </is>
      </c>
      <c r="C534" t="inlineStr">
        <is>
          <t>No</t>
        </is>
      </c>
    </row>
    <row r="535">
      <c r="A535" t="inlineStr">
        <is>
          <t>CF0534</t>
        </is>
      </c>
      <c r="B535" t="inlineStr">
        <is>
          <t>No</t>
        </is>
      </c>
      <c r="C535" t="inlineStr">
        <is>
          <t>No</t>
        </is>
      </c>
    </row>
    <row r="536">
      <c r="A536" t="inlineStr">
        <is>
          <t>CF0535</t>
        </is>
      </c>
      <c r="B536" t="inlineStr">
        <is>
          <t>No</t>
        </is>
      </c>
      <c r="C536" t="inlineStr">
        <is>
          <t>Yes</t>
        </is>
      </c>
    </row>
    <row r="537">
      <c r="A537" t="inlineStr">
        <is>
          <t>CF0536</t>
        </is>
      </c>
      <c r="B537" t="inlineStr">
        <is>
          <t>No</t>
        </is>
      </c>
      <c r="C537" t="inlineStr">
        <is>
          <t>No</t>
        </is>
      </c>
    </row>
    <row r="538">
      <c r="A538" t="inlineStr">
        <is>
          <t>CF0537</t>
        </is>
      </c>
      <c r="B538" t="inlineStr">
        <is>
          <t>Yes</t>
        </is>
      </c>
      <c r="C538" t="inlineStr">
        <is>
          <t>Yes</t>
        </is>
      </c>
    </row>
    <row r="539">
      <c r="A539" t="inlineStr">
        <is>
          <t>CF0538</t>
        </is>
      </c>
      <c r="B539" t="inlineStr">
        <is>
          <t>No</t>
        </is>
      </c>
      <c r="C539" t="inlineStr">
        <is>
          <t>No</t>
        </is>
      </c>
    </row>
    <row r="540">
      <c r="A540" t="inlineStr">
        <is>
          <t>CF0539</t>
        </is>
      </c>
      <c r="B540" t="inlineStr">
        <is>
          <t>No</t>
        </is>
      </c>
      <c r="C540" t="inlineStr">
        <is>
          <t>No</t>
        </is>
      </c>
    </row>
    <row r="541">
      <c r="A541" t="inlineStr">
        <is>
          <t>CF0540</t>
        </is>
      </c>
      <c r="B541" t="inlineStr">
        <is>
          <t>No</t>
        </is>
      </c>
      <c r="C541" t="inlineStr">
        <is>
          <t>No</t>
        </is>
      </c>
    </row>
    <row r="542">
      <c r="A542" t="inlineStr">
        <is>
          <t>CF0541</t>
        </is>
      </c>
      <c r="B542" t="inlineStr">
        <is>
          <t>No</t>
        </is>
      </c>
      <c r="C542" t="inlineStr">
        <is>
          <t>No</t>
        </is>
      </c>
    </row>
    <row r="543">
      <c r="A543" t="inlineStr">
        <is>
          <t>CF0542</t>
        </is>
      </c>
      <c r="B543" t="inlineStr">
        <is>
          <t>Yes</t>
        </is>
      </c>
      <c r="C543" t="inlineStr">
        <is>
          <t>Yes</t>
        </is>
      </c>
    </row>
    <row r="544">
      <c r="A544" t="inlineStr">
        <is>
          <t>CF0543</t>
        </is>
      </c>
      <c r="B544" t="inlineStr">
        <is>
          <t>No</t>
        </is>
      </c>
      <c r="C544" t="inlineStr">
        <is>
          <t>No</t>
        </is>
      </c>
    </row>
    <row r="545">
      <c r="A545" t="inlineStr">
        <is>
          <t>CF0544</t>
        </is>
      </c>
      <c r="B545" t="inlineStr">
        <is>
          <t>No</t>
        </is>
      </c>
      <c r="C545" t="inlineStr">
        <is>
          <t>No</t>
        </is>
      </c>
    </row>
    <row r="546">
      <c r="A546" t="inlineStr">
        <is>
          <t>CF0545</t>
        </is>
      </c>
      <c r="B546" t="inlineStr">
        <is>
          <t>No</t>
        </is>
      </c>
      <c r="C546" t="inlineStr">
        <is>
          <t>No</t>
        </is>
      </c>
    </row>
    <row r="547">
      <c r="A547" t="inlineStr">
        <is>
          <t>CF0546</t>
        </is>
      </c>
      <c r="B547" t="inlineStr">
        <is>
          <t>No</t>
        </is>
      </c>
      <c r="C547" t="inlineStr">
        <is>
          <t>Yes</t>
        </is>
      </c>
    </row>
    <row r="548">
      <c r="A548" t="inlineStr">
        <is>
          <t>CF0547</t>
        </is>
      </c>
      <c r="B548" t="inlineStr">
        <is>
          <t>Yes</t>
        </is>
      </c>
      <c r="C548" t="inlineStr">
        <is>
          <t>Yes</t>
        </is>
      </c>
    </row>
    <row r="549">
      <c r="A549" t="inlineStr">
        <is>
          <t>CF0548</t>
        </is>
      </c>
      <c r="B549" t="inlineStr">
        <is>
          <t>No</t>
        </is>
      </c>
      <c r="C549" t="inlineStr">
        <is>
          <t>No</t>
        </is>
      </c>
    </row>
    <row r="550">
      <c r="A550" t="inlineStr">
        <is>
          <t>CF0549</t>
        </is>
      </c>
      <c r="B550" t="inlineStr">
        <is>
          <t>No</t>
        </is>
      </c>
      <c r="C550" t="inlineStr">
        <is>
          <t>Yes</t>
        </is>
      </c>
    </row>
    <row r="551">
      <c r="A551" t="inlineStr">
        <is>
          <t>CF0550</t>
        </is>
      </c>
      <c r="B551" t="inlineStr">
        <is>
          <t>No</t>
        </is>
      </c>
      <c r="C551" t="inlineStr">
        <is>
          <t>No</t>
        </is>
      </c>
    </row>
    <row r="552">
      <c r="A552" t="inlineStr">
        <is>
          <t>CF0551</t>
        </is>
      </c>
      <c r="B552" t="inlineStr">
        <is>
          <t>No</t>
        </is>
      </c>
      <c r="C552" t="inlineStr">
        <is>
          <t>No</t>
        </is>
      </c>
    </row>
    <row r="553">
      <c r="A553" t="inlineStr">
        <is>
          <t>CF0552</t>
        </is>
      </c>
      <c r="B553" t="inlineStr">
        <is>
          <t>No</t>
        </is>
      </c>
      <c r="C553" t="inlineStr">
        <is>
          <t>No</t>
        </is>
      </c>
    </row>
    <row r="554">
      <c r="A554" t="inlineStr">
        <is>
          <t>CF0553</t>
        </is>
      </c>
      <c r="B554" t="inlineStr">
        <is>
          <t>No</t>
        </is>
      </c>
      <c r="C554" t="inlineStr">
        <is>
          <t>No</t>
        </is>
      </c>
    </row>
    <row r="555">
      <c r="A555" t="inlineStr">
        <is>
          <t>CF0554</t>
        </is>
      </c>
      <c r="B555" t="inlineStr">
        <is>
          <t>No</t>
        </is>
      </c>
      <c r="C555" t="inlineStr">
        <is>
          <t>No</t>
        </is>
      </c>
    </row>
    <row r="556">
      <c r="A556" t="inlineStr">
        <is>
          <t>CF0555</t>
        </is>
      </c>
      <c r="B556" t="inlineStr">
        <is>
          <t>No</t>
        </is>
      </c>
      <c r="C556" t="inlineStr">
        <is>
          <t>No</t>
        </is>
      </c>
    </row>
    <row r="557">
      <c r="A557" t="inlineStr">
        <is>
          <t>CF0556</t>
        </is>
      </c>
      <c r="B557" t="inlineStr">
        <is>
          <t>No</t>
        </is>
      </c>
      <c r="C557" t="inlineStr">
        <is>
          <t>No</t>
        </is>
      </c>
    </row>
    <row r="558">
      <c r="A558" t="inlineStr">
        <is>
          <t>CF0557</t>
        </is>
      </c>
      <c r="B558" t="inlineStr">
        <is>
          <t>No</t>
        </is>
      </c>
      <c r="C558" t="inlineStr">
        <is>
          <t>No</t>
        </is>
      </c>
    </row>
    <row r="559">
      <c r="A559" t="inlineStr">
        <is>
          <t>CF0558</t>
        </is>
      </c>
      <c r="B559" t="inlineStr">
        <is>
          <t>No</t>
        </is>
      </c>
      <c r="C559" t="inlineStr">
        <is>
          <t>No</t>
        </is>
      </c>
    </row>
    <row r="560">
      <c r="A560" t="inlineStr">
        <is>
          <t>CF0559</t>
        </is>
      </c>
      <c r="B560" t="inlineStr">
        <is>
          <t>No</t>
        </is>
      </c>
      <c r="C560" t="inlineStr">
        <is>
          <t>Yes</t>
        </is>
      </c>
    </row>
    <row r="561">
      <c r="A561" t="inlineStr">
        <is>
          <t>CF0560</t>
        </is>
      </c>
      <c r="B561" t="inlineStr">
        <is>
          <t>No</t>
        </is>
      </c>
      <c r="C561" t="inlineStr">
        <is>
          <t>Yes</t>
        </is>
      </c>
    </row>
    <row r="562">
      <c r="A562" t="inlineStr">
        <is>
          <t>CF0561</t>
        </is>
      </c>
      <c r="B562" t="inlineStr">
        <is>
          <t>No</t>
        </is>
      </c>
      <c r="C562" t="inlineStr">
        <is>
          <t>No</t>
        </is>
      </c>
    </row>
    <row r="563">
      <c r="A563" t="inlineStr">
        <is>
          <t>CF0562</t>
        </is>
      </c>
      <c r="B563" t="inlineStr">
        <is>
          <t>No</t>
        </is>
      </c>
      <c r="C563" t="inlineStr">
        <is>
          <t>No</t>
        </is>
      </c>
    </row>
    <row r="564">
      <c r="A564" t="inlineStr">
        <is>
          <t>CF0563</t>
        </is>
      </c>
      <c r="B564" t="inlineStr">
        <is>
          <t>No</t>
        </is>
      </c>
      <c r="C564" t="inlineStr">
        <is>
          <t>No</t>
        </is>
      </c>
    </row>
    <row r="565">
      <c r="A565" t="inlineStr">
        <is>
          <t>CF0564</t>
        </is>
      </c>
      <c r="B565" t="inlineStr">
        <is>
          <t>No</t>
        </is>
      </c>
      <c r="C565" t="inlineStr">
        <is>
          <t>No</t>
        </is>
      </c>
    </row>
    <row r="566">
      <c r="A566" t="inlineStr">
        <is>
          <t>CF0565</t>
        </is>
      </c>
      <c r="B566" t="inlineStr">
        <is>
          <t>No</t>
        </is>
      </c>
      <c r="C566" t="inlineStr">
        <is>
          <t>Yes</t>
        </is>
      </c>
    </row>
    <row r="567">
      <c r="A567" t="inlineStr">
        <is>
          <t>CF0566</t>
        </is>
      </c>
      <c r="B567" t="inlineStr">
        <is>
          <t>No</t>
        </is>
      </c>
      <c r="C567" t="inlineStr">
        <is>
          <t>No</t>
        </is>
      </c>
    </row>
    <row r="568">
      <c r="A568" t="inlineStr">
        <is>
          <t>CF0567</t>
        </is>
      </c>
      <c r="B568" t="inlineStr">
        <is>
          <t>No</t>
        </is>
      </c>
      <c r="C568" t="inlineStr">
        <is>
          <t>No</t>
        </is>
      </c>
    </row>
    <row r="569">
      <c r="A569" t="inlineStr">
        <is>
          <t>CF0568</t>
        </is>
      </c>
      <c r="B569" t="inlineStr">
        <is>
          <t>No</t>
        </is>
      </c>
      <c r="C569" t="inlineStr">
        <is>
          <t>No</t>
        </is>
      </c>
    </row>
    <row r="570">
      <c r="A570" t="inlineStr">
        <is>
          <t>CF0569</t>
        </is>
      </c>
      <c r="B570" t="inlineStr">
        <is>
          <t>No</t>
        </is>
      </c>
      <c r="C570" t="inlineStr">
        <is>
          <t>No</t>
        </is>
      </c>
    </row>
    <row r="571">
      <c r="A571" t="inlineStr">
        <is>
          <t>CF0570</t>
        </is>
      </c>
      <c r="B571" t="inlineStr">
        <is>
          <t>No</t>
        </is>
      </c>
      <c r="C571" t="inlineStr">
        <is>
          <t>No</t>
        </is>
      </c>
    </row>
    <row r="572">
      <c r="A572" t="inlineStr">
        <is>
          <t>CF0571</t>
        </is>
      </c>
      <c r="B572" t="inlineStr">
        <is>
          <t>Yes</t>
        </is>
      </c>
      <c r="C572" t="inlineStr">
        <is>
          <t>Yes</t>
        </is>
      </c>
    </row>
    <row r="573">
      <c r="A573" t="inlineStr">
        <is>
          <t>CF0572</t>
        </is>
      </c>
      <c r="B573" t="inlineStr">
        <is>
          <t>No</t>
        </is>
      </c>
      <c r="C573" t="inlineStr">
        <is>
          <t>No</t>
        </is>
      </c>
    </row>
    <row r="574">
      <c r="A574" t="inlineStr">
        <is>
          <t>CF0573</t>
        </is>
      </c>
      <c r="B574" t="inlineStr">
        <is>
          <t>No</t>
        </is>
      </c>
      <c r="C574" t="inlineStr">
        <is>
          <t>No</t>
        </is>
      </c>
    </row>
    <row r="575">
      <c r="A575" t="inlineStr">
        <is>
          <t>CF0574</t>
        </is>
      </c>
      <c r="B575" t="inlineStr">
        <is>
          <t>No</t>
        </is>
      </c>
      <c r="C575" t="inlineStr">
        <is>
          <t>No</t>
        </is>
      </c>
    </row>
    <row r="576">
      <c r="A576" t="inlineStr">
        <is>
          <t>CF0575</t>
        </is>
      </c>
      <c r="B576" t="inlineStr">
        <is>
          <t>No</t>
        </is>
      </c>
      <c r="C576" t="inlineStr">
        <is>
          <t>No</t>
        </is>
      </c>
    </row>
    <row r="577">
      <c r="A577" t="inlineStr">
        <is>
          <t>CF0576</t>
        </is>
      </c>
      <c r="B577" t="inlineStr">
        <is>
          <t>No</t>
        </is>
      </c>
      <c r="C577" t="inlineStr">
        <is>
          <t>Yes</t>
        </is>
      </c>
    </row>
    <row r="578">
      <c r="A578" t="inlineStr">
        <is>
          <t>CF0577</t>
        </is>
      </c>
      <c r="B578" t="inlineStr">
        <is>
          <t>No</t>
        </is>
      </c>
      <c r="C578" t="inlineStr">
        <is>
          <t>No</t>
        </is>
      </c>
    </row>
    <row r="579">
      <c r="A579" t="inlineStr">
        <is>
          <t>CF0578</t>
        </is>
      </c>
      <c r="B579" t="inlineStr">
        <is>
          <t>No</t>
        </is>
      </c>
      <c r="C579" t="inlineStr">
        <is>
          <t>Yes</t>
        </is>
      </c>
    </row>
    <row r="580">
      <c r="A580" t="inlineStr">
        <is>
          <t>CF0579</t>
        </is>
      </c>
      <c r="B580" t="inlineStr">
        <is>
          <t>No</t>
        </is>
      </c>
      <c r="C580" t="inlineStr">
        <is>
          <t>Yes</t>
        </is>
      </c>
    </row>
    <row r="581">
      <c r="A581" t="inlineStr">
        <is>
          <t>CF0580</t>
        </is>
      </c>
      <c r="B581" t="inlineStr">
        <is>
          <t>No</t>
        </is>
      </c>
      <c r="C581" t="inlineStr">
        <is>
          <t>No</t>
        </is>
      </c>
    </row>
    <row r="582">
      <c r="A582" t="inlineStr">
        <is>
          <t>CF0581</t>
        </is>
      </c>
      <c r="B582" t="inlineStr">
        <is>
          <t>Yes</t>
        </is>
      </c>
      <c r="C582" t="inlineStr">
        <is>
          <t>Yes</t>
        </is>
      </c>
    </row>
    <row r="583">
      <c r="A583" t="inlineStr">
        <is>
          <t>CF0582</t>
        </is>
      </c>
      <c r="B583" t="inlineStr">
        <is>
          <t>No</t>
        </is>
      </c>
      <c r="C583" t="inlineStr">
        <is>
          <t>No</t>
        </is>
      </c>
    </row>
    <row r="584">
      <c r="A584" t="inlineStr">
        <is>
          <t>CF0583</t>
        </is>
      </c>
      <c r="B584" t="inlineStr">
        <is>
          <t>No</t>
        </is>
      </c>
      <c r="C584" t="inlineStr">
        <is>
          <t>No</t>
        </is>
      </c>
    </row>
    <row r="585">
      <c r="A585" t="inlineStr">
        <is>
          <t>CF0584</t>
        </is>
      </c>
      <c r="B585" t="inlineStr">
        <is>
          <t>No</t>
        </is>
      </c>
      <c r="C585" t="inlineStr">
        <is>
          <t>No</t>
        </is>
      </c>
    </row>
    <row r="586">
      <c r="A586" t="inlineStr">
        <is>
          <t>CF0585</t>
        </is>
      </c>
      <c r="B586" t="inlineStr">
        <is>
          <t>No</t>
        </is>
      </c>
      <c r="C586" t="inlineStr">
        <is>
          <t>No</t>
        </is>
      </c>
    </row>
    <row r="587">
      <c r="A587" t="inlineStr">
        <is>
          <t>CF0586</t>
        </is>
      </c>
      <c r="B587" t="inlineStr">
        <is>
          <t>No</t>
        </is>
      </c>
      <c r="C587" t="inlineStr">
        <is>
          <t>Yes</t>
        </is>
      </c>
    </row>
    <row r="588">
      <c r="A588" t="inlineStr">
        <is>
          <t>CF0587</t>
        </is>
      </c>
      <c r="B588" t="inlineStr">
        <is>
          <t>Yes</t>
        </is>
      </c>
      <c r="C588" t="inlineStr">
        <is>
          <t>No</t>
        </is>
      </c>
    </row>
    <row r="589">
      <c r="A589" t="inlineStr">
        <is>
          <t>CF0588</t>
        </is>
      </c>
      <c r="B589" t="inlineStr">
        <is>
          <t>No</t>
        </is>
      </c>
      <c r="C589" t="inlineStr">
        <is>
          <t>No</t>
        </is>
      </c>
    </row>
    <row r="590">
      <c r="A590" t="inlineStr">
        <is>
          <t>CF0589</t>
        </is>
      </c>
      <c r="B590" t="inlineStr">
        <is>
          <t>No</t>
        </is>
      </c>
      <c r="C590" t="inlineStr">
        <is>
          <t>No</t>
        </is>
      </c>
    </row>
    <row r="591">
      <c r="A591" t="inlineStr">
        <is>
          <t>CF0590</t>
        </is>
      </c>
      <c r="B591" t="inlineStr">
        <is>
          <t>No</t>
        </is>
      </c>
      <c r="C591" t="inlineStr">
        <is>
          <t>Yes</t>
        </is>
      </c>
    </row>
    <row r="592">
      <c r="A592" t="inlineStr">
        <is>
          <t>CF0591</t>
        </is>
      </c>
      <c r="B592" t="inlineStr">
        <is>
          <t>No</t>
        </is>
      </c>
      <c r="C592" t="inlineStr">
        <is>
          <t>No</t>
        </is>
      </c>
    </row>
    <row r="593">
      <c r="A593" t="inlineStr">
        <is>
          <t>CF0592</t>
        </is>
      </c>
      <c r="B593" t="inlineStr">
        <is>
          <t>No</t>
        </is>
      </c>
      <c r="C593" t="inlineStr">
        <is>
          <t>Yes</t>
        </is>
      </c>
    </row>
    <row r="594">
      <c r="A594" t="inlineStr">
        <is>
          <t>CF0593</t>
        </is>
      </c>
      <c r="B594" t="inlineStr">
        <is>
          <t>No</t>
        </is>
      </c>
      <c r="C594" t="inlineStr">
        <is>
          <t>No</t>
        </is>
      </c>
    </row>
    <row r="595">
      <c r="A595" t="inlineStr">
        <is>
          <t>CF0594</t>
        </is>
      </c>
      <c r="B595" t="inlineStr">
        <is>
          <t>Yes</t>
        </is>
      </c>
      <c r="C595" t="inlineStr">
        <is>
          <t>No</t>
        </is>
      </c>
    </row>
    <row r="596">
      <c r="A596" t="inlineStr">
        <is>
          <t>CF0595</t>
        </is>
      </c>
      <c r="B596" t="inlineStr">
        <is>
          <t>No</t>
        </is>
      </c>
      <c r="C596" t="inlineStr">
        <is>
          <t>No</t>
        </is>
      </c>
    </row>
    <row r="597">
      <c r="A597" t="inlineStr">
        <is>
          <t>CF0596</t>
        </is>
      </c>
      <c r="B597" t="inlineStr">
        <is>
          <t>Yes</t>
        </is>
      </c>
      <c r="C597" t="inlineStr">
        <is>
          <t>Yes</t>
        </is>
      </c>
    </row>
    <row r="598">
      <c r="A598" t="inlineStr">
        <is>
          <t>CF0597</t>
        </is>
      </c>
      <c r="B598" t="inlineStr">
        <is>
          <t>No</t>
        </is>
      </c>
      <c r="C598" t="inlineStr">
        <is>
          <t>No</t>
        </is>
      </c>
    </row>
    <row r="599">
      <c r="A599" t="inlineStr">
        <is>
          <t>CF0598</t>
        </is>
      </c>
      <c r="B599" t="inlineStr">
        <is>
          <t>No</t>
        </is>
      </c>
      <c r="C599" t="inlineStr">
        <is>
          <t>No</t>
        </is>
      </c>
    </row>
    <row r="600">
      <c r="A600" t="inlineStr">
        <is>
          <t>CF0599</t>
        </is>
      </c>
      <c r="B600" t="inlineStr">
        <is>
          <t>No</t>
        </is>
      </c>
      <c r="C600" t="inlineStr">
        <is>
          <t>Yes</t>
        </is>
      </c>
    </row>
    <row r="601">
      <c r="A601" t="inlineStr">
        <is>
          <t>CF0600</t>
        </is>
      </c>
      <c r="B601" t="inlineStr">
        <is>
          <t>No</t>
        </is>
      </c>
      <c r="C601" t="inlineStr">
        <is>
          <t>No</t>
        </is>
      </c>
    </row>
    <row r="602">
      <c r="A602" t="inlineStr">
        <is>
          <t>CF0601</t>
        </is>
      </c>
      <c r="B602" t="inlineStr">
        <is>
          <t>No</t>
        </is>
      </c>
      <c r="C602" t="inlineStr">
        <is>
          <t>No</t>
        </is>
      </c>
    </row>
    <row r="603">
      <c r="A603" t="inlineStr">
        <is>
          <t>CF0602</t>
        </is>
      </c>
      <c r="B603" t="inlineStr">
        <is>
          <t>No</t>
        </is>
      </c>
      <c r="C603" t="inlineStr">
        <is>
          <t>No</t>
        </is>
      </c>
    </row>
    <row r="604">
      <c r="A604" t="inlineStr">
        <is>
          <t>CF0603</t>
        </is>
      </c>
      <c r="B604" t="inlineStr">
        <is>
          <t>Yes</t>
        </is>
      </c>
      <c r="C604" t="inlineStr">
        <is>
          <t>Yes</t>
        </is>
      </c>
    </row>
    <row r="605">
      <c r="A605" t="inlineStr">
        <is>
          <t>CF0604</t>
        </is>
      </c>
      <c r="B605" t="inlineStr">
        <is>
          <t>No</t>
        </is>
      </c>
      <c r="C605" t="inlineStr">
        <is>
          <t>No</t>
        </is>
      </c>
    </row>
    <row r="606">
      <c r="A606" t="inlineStr">
        <is>
          <t>CF0605</t>
        </is>
      </c>
      <c r="B606" t="inlineStr">
        <is>
          <t>No</t>
        </is>
      </c>
      <c r="C606" t="inlineStr">
        <is>
          <t>No</t>
        </is>
      </c>
    </row>
    <row r="607">
      <c r="A607" t="inlineStr">
        <is>
          <t>CF0606</t>
        </is>
      </c>
      <c r="B607" t="inlineStr">
        <is>
          <t>Yes</t>
        </is>
      </c>
      <c r="C607" t="inlineStr">
        <is>
          <t>No</t>
        </is>
      </c>
    </row>
    <row r="608">
      <c r="A608" t="inlineStr">
        <is>
          <t>CF0607</t>
        </is>
      </c>
      <c r="B608" t="inlineStr">
        <is>
          <t>No</t>
        </is>
      </c>
      <c r="C608" t="inlineStr">
        <is>
          <t>No</t>
        </is>
      </c>
    </row>
    <row r="609">
      <c r="A609" t="inlineStr">
        <is>
          <t>CF0608</t>
        </is>
      </c>
      <c r="B609" t="inlineStr">
        <is>
          <t>No</t>
        </is>
      </c>
      <c r="C609" t="inlineStr">
        <is>
          <t>No</t>
        </is>
      </c>
    </row>
    <row r="610">
      <c r="A610" t="inlineStr">
        <is>
          <t>CF0609</t>
        </is>
      </c>
      <c r="B610" t="inlineStr">
        <is>
          <t>No</t>
        </is>
      </c>
      <c r="C610" t="inlineStr">
        <is>
          <t>No</t>
        </is>
      </c>
    </row>
    <row r="611">
      <c r="A611" t="inlineStr">
        <is>
          <t>CF0610</t>
        </is>
      </c>
      <c r="B611" t="inlineStr">
        <is>
          <t>No</t>
        </is>
      </c>
      <c r="C611" t="inlineStr">
        <is>
          <t>No</t>
        </is>
      </c>
    </row>
    <row r="612">
      <c r="A612" t="inlineStr">
        <is>
          <t>CF0611</t>
        </is>
      </c>
      <c r="B612" t="inlineStr">
        <is>
          <t>No</t>
        </is>
      </c>
      <c r="C612" t="inlineStr">
        <is>
          <t>No</t>
        </is>
      </c>
    </row>
    <row r="613">
      <c r="A613" t="inlineStr">
        <is>
          <t>CF0612</t>
        </is>
      </c>
      <c r="B613" t="inlineStr">
        <is>
          <t>No</t>
        </is>
      </c>
      <c r="C613" t="inlineStr">
        <is>
          <t>No</t>
        </is>
      </c>
    </row>
    <row r="614">
      <c r="A614" t="inlineStr">
        <is>
          <t>CF0613</t>
        </is>
      </c>
      <c r="B614" t="inlineStr">
        <is>
          <t>No</t>
        </is>
      </c>
      <c r="C614" t="inlineStr">
        <is>
          <t>No</t>
        </is>
      </c>
    </row>
    <row r="615">
      <c r="A615" t="inlineStr">
        <is>
          <t>CF0614</t>
        </is>
      </c>
      <c r="B615" t="inlineStr">
        <is>
          <t>No</t>
        </is>
      </c>
      <c r="C615" t="inlineStr">
        <is>
          <t>No</t>
        </is>
      </c>
    </row>
    <row r="616">
      <c r="A616" t="inlineStr">
        <is>
          <t>CF0615</t>
        </is>
      </c>
      <c r="B616" t="inlineStr">
        <is>
          <t>No</t>
        </is>
      </c>
      <c r="C616" t="inlineStr">
        <is>
          <t>No</t>
        </is>
      </c>
    </row>
    <row r="617">
      <c r="A617" t="inlineStr">
        <is>
          <t>CF0616</t>
        </is>
      </c>
      <c r="B617" t="inlineStr">
        <is>
          <t>No</t>
        </is>
      </c>
      <c r="C617" t="inlineStr">
        <is>
          <t>Yes</t>
        </is>
      </c>
    </row>
    <row r="618">
      <c r="A618" t="inlineStr">
        <is>
          <t>CF0617</t>
        </is>
      </c>
      <c r="B618" t="inlineStr">
        <is>
          <t>No</t>
        </is>
      </c>
      <c r="C618" t="inlineStr">
        <is>
          <t>No</t>
        </is>
      </c>
    </row>
    <row r="619">
      <c r="A619" t="inlineStr">
        <is>
          <t>CF0618</t>
        </is>
      </c>
      <c r="B619" t="inlineStr">
        <is>
          <t>No</t>
        </is>
      </c>
      <c r="C619" t="inlineStr">
        <is>
          <t>No</t>
        </is>
      </c>
    </row>
    <row r="620">
      <c r="A620" t="inlineStr">
        <is>
          <t>CF0619</t>
        </is>
      </c>
      <c r="B620" t="inlineStr">
        <is>
          <t>No</t>
        </is>
      </c>
      <c r="C620" t="inlineStr">
        <is>
          <t>Yes</t>
        </is>
      </c>
    </row>
    <row r="621">
      <c r="A621" t="inlineStr">
        <is>
          <t>CF0620</t>
        </is>
      </c>
      <c r="B621" t="inlineStr">
        <is>
          <t>No</t>
        </is>
      </c>
      <c r="C621" t="inlineStr">
        <is>
          <t>Yes</t>
        </is>
      </c>
    </row>
    <row r="622">
      <c r="A622" t="inlineStr">
        <is>
          <t>CF0621</t>
        </is>
      </c>
      <c r="B622" t="inlineStr">
        <is>
          <t>No</t>
        </is>
      </c>
      <c r="C622" t="inlineStr">
        <is>
          <t>No</t>
        </is>
      </c>
    </row>
    <row r="623">
      <c r="A623" t="inlineStr">
        <is>
          <t>CF0622</t>
        </is>
      </c>
      <c r="B623" t="inlineStr">
        <is>
          <t>Yes</t>
        </is>
      </c>
      <c r="C623" t="inlineStr">
        <is>
          <t>No</t>
        </is>
      </c>
    </row>
    <row r="624">
      <c r="A624" t="inlineStr">
        <is>
          <t>CF0623</t>
        </is>
      </c>
      <c r="B624" t="inlineStr">
        <is>
          <t>No</t>
        </is>
      </c>
      <c r="C624" t="inlineStr">
        <is>
          <t>No</t>
        </is>
      </c>
    </row>
    <row r="625">
      <c r="A625" t="inlineStr">
        <is>
          <t>CF0624</t>
        </is>
      </c>
      <c r="B625" t="inlineStr">
        <is>
          <t>No</t>
        </is>
      </c>
      <c r="C625" t="inlineStr">
        <is>
          <t>No</t>
        </is>
      </c>
    </row>
    <row r="626">
      <c r="A626" t="inlineStr">
        <is>
          <t>CF0625</t>
        </is>
      </c>
      <c r="B626" t="inlineStr">
        <is>
          <t>No</t>
        </is>
      </c>
      <c r="C626" t="inlineStr">
        <is>
          <t>No</t>
        </is>
      </c>
    </row>
    <row r="627">
      <c r="A627" t="inlineStr">
        <is>
          <t>CF0626</t>
        </is>
      </c>
      <c r="B627" t="inlineStr">
        <is>
          <t>No</t>
        </is>
      </c>
      <c r="C627" t="inlineStr">
        <is>
          <t>Yes</t>
        </is>
      </c>
    </row>
    <row r="628">
      <c r="A628" t="inlineStr">
        <is>
          <t>CF0627</t>
        </is>
      </c>
      <c r="B628" t="inlineStr">
        <is>
          <t>No</t>
        </is>
      </c>
      <c r="C628" t="inlineStr">
        <is>
          <t>No</t>
        </is>
      </c>
    </row>
    <row r="629">
      <c r="A629" t="inlineStr">
        <is>
          <t>CF0628</t>
        </is>
      </c>
      <c r="B629" t="inlineStr">
        <is>
          <t>No</t>
        </is>
      </c>
      <c r="C629" t="inlineStr">
        <is>
          <t>No</t>
        </is>
      </c>
    </row>
    <row r="630">
      <c r="A630" t="inlineStr">
        <is>
          <t>CF0629</t>
        </is>
      </c>
      <c r="B630" t="inlineStr">
        <is>
          <t>Yes</t>
        </is>
      </c>
      <c r="C630" t="inlineStr">
        <is>
          <t>Yes</t>
        </is>
      </c>
    </row>
    <row r="631">
      <c r="A631" t="inlineStr">
        <is>
          <t>CF0630</t>
        </is>
      </c>
      <c r="B631" t="inlineStr">
        <is>
          <t>No</t>
        </is>
      </c>
      <c r="C631" t="inlineStr">
        <is>
          <t>No</t>
        </is>
      </c>
    </row>
    <row r="632">
      <c r="A632" t="inlineStr">
        <is>
          <t>CF0631</t>
        </is>
      </c>
      <c r="B632" t="inlineStr">
        <is>
          <t>No</t>
        </is>
      </c>
      <c r="C632" t="inlineStr">
        <is>
          <t>No</t>
        </is>
      </c>
    </row>
    <row r="633">
      <c r="A633" t="inlineStr">
        <is>
          <t>CF0632</t>
        </is>
      </c>
      <c r="B633" t="inlineStr">
        <is>
          <t>No</t>
        </is>
      </c>
      <c r="C633" t="inlineStr">
        <is>
          <t>No</t>
        </is>
      </c>
    </row>
    <row r="634">
      <c r="A634" t="inlineStr">
        <is>
          <t>CF0633</t>
        </is>
      </c>
      <c r="B634" t="inlineStr">
        <is>
          <t>No</t>
        </is>
      </c>
      <c r="C634" t="inlineStr">
        <is>
          <t>No</t>
        </is>
      </c>
    </row>
    <row r="635">
      <c r="A635" t="inlineStr">
        <is>
          <t>CF0634</t>
        </is>
      </c>
      <c r="B635" t="inlineStr">
        <is>
          <t>No</t>
        </is>
      </c>
      <c r="C635" t="inlineStr">
        <is>
          <t>No</t>
        </is>
      </c>
    </row>
    <row r="636">
      <c r="A636" t="inlineStr">
        <is>
          <t>CF0635</t>
        </is>
      </c>
      <c r="B636" t="inlineStr">
        <is>
          <t>No</t>
        </is>
      </c>
      <c r="C636" t="inlineStr">
        <is>
          <t>No</t>
        </is>
      </c>
    </row>
    <row r="637">
      <c r="A637" t="inlineStr">
        <is>
          <t>CF0636</t>
        </is>
      </c>
      <c r="B637" t="inlineStr">
        <is>
          <t>Yes</t>
        </is>
      </c>
      <c r="C637" t="inlineStr">
        <is>
          <t>Yes</t>
        </is>
      </c>
    </row>
    <row r="638">
      <c r="A638" t="inlineStr">
        <is>
          <t>CF0637</t>
        </is>
      </c>
      <c r="B638" t="inlineStr">
        <is>
          <t>Yes</t>
        </is>
      </c>
      <c r="C638" t="inlineStr">
        <is>
          <t>Yes</t>
        </is>
      </c>
    </row>
    <row r="639">
      <c r="A639" t="inlineStr">
        <is>
          <t>CF0638</t>
        </is>
      </c>
      <c r="B639" t="inlineStr">
        <is>
          <t>No</t>
        </is>
      </c>
      <c r="C639" t="inlineStr">
        <is>
          <t>No</t>
        </is>
      </c>
    </row>
    <row r="640">
      <c r="A640" t="inlineStr">
        <is>
          <t>CF0639</t>
        </is>
      </c>
      <c r="B640" t="inlineStr">
        <is>
          <t>Yes</t>
        </is>
      </c>
      <c r="C640" t="inlineStr">
        <is>
          <t>No</t>
        </is>
      </c>
    </row>
    <row r="641">
      <c r="A641" t="inlineStr">
        <is>
          <t>CF0640</t>
        </is>
      </c>
      <c r="B641" t="inlineStr">
        <is>
          <t>No</t>
        </is>
      </c>
      <c r="C641" t="inlineStr">
        <is>
          <t>No</t>
        </is>
      </c>
    </row>
    <row r="642">
      <c r="A642" t="inlineStr">
        <is>
          <t>CF0641</t>
        </is>
      </c>
      <c r="B642" t="inlineStr">
        <is>
          <t>No</t>
        </is>
      </c>
      <c r="C642" t="inlineStr">
        <is>
          <t>No</t>
        </is>
      </c>
    </row>
    <row r="643">
      <c r="A643" t="inlineStr">
        <is>
          <t>CF0642</t>
        </is>
      </c>
      <c r="B643" t="inlineStr">
        <is>
          <t>Yes</t>
        </is>
      </c>
      <c r="C643" t="inlineStr">
        <is>
          <t>Yes</t>
        </is>
      </c>
    </row>
    <row r="644">
      <c r="A644" t="inlineStr">
        <is>
          <t>CF0643</t>
        </is>
      </c>
      <c r="B644" t="inlineStr">
        <is>
          <t>No</t>
        </is>
      </c>
      <c r="C644" t="inlineStr">
        <is>
          <t>No</t>
        </is>
      </c>
    </row>
    <row r="645">
      <c r="A645" t="inlineStr">
        <is>
          <t>CF0644</t>
        </is>
      </c>
      <c r="B645" t="inlineStr">
        <is>
          <t>No</t>
        </is>
      </c>
      <c r="C645" t="inlineStr">
        <is>
          <t>No</t>
        </is>
      </c>
    </row>
    <row r="646">
      <c r="A646" t="inlineStr">
        <is>
          <t>CF0645</t>
        </is>
      </c>
      <c r="B646" t="inlineStr">
        <is>
          <t>No</t>
        </is>
      </c>
      <c r="C646" t="inlineStr">
        <is>
          <t>No</t>
        </is>
      </c>
    </row>
    <row r="647">
      <c r="A647" t="inlineStr">
        <is>
          <t>CF0646</t>
        </is>
      </c>
      <c r="B647" t="inlineStr">
        <is>
          <t>No</t>
        </is>
      </c>
      <c r="C647" t="inlineStr">
        <is>
          <t>No</t>
        </is>
      </c>
    </row>
    <row r="648">
      <c r="A648" t="inlineStr">
        <is>
          <t>CF0647</t>
        </is>
      </c>
      <c r="B648" t="inlineStr">
        <is>
          <t>No</t>
        </is>
      </c>
      <c r="C648" t="inlineStr">
        <is>
          <t>No</t>
        </is>
      </c>
    </row>
    <row r="649">
      <c r="A649" t="inlineStr">
        <is>
          <t>CF0648</t>
        </is>
      </c>
      <c r="B649" t="inlineStr">
        <is>
          <t>No</t>
        </is>
      </c>
      <c r="C649" t="inlineStr">
        <is>
          <t>No</t>
        </is>
      </c>
    </row>
    <row r="650">
      <c r="A650" t="inlineStr">
        <is>
          <t>CF0649</t>
        </is>
      </c>
      <c r="B650" t="inlineStr">
        <is>
          <t>No</t>
        </is>
      </c>
      <c r="C650" t="inlineStr">
        <is>
          <t>No</t>
        </is>
      </c>
    </row>
    <row r="651">
      <c r="A651" t="inlineStr">
        <is>
          <t>CF0650</t>
        </is>
      </c>
      <c r="B651" t="inlineStr">
        <is>
          <t>No</t>
        </is>
      </c>
      <c r="C651" t="inlineStr">
        <is>
          <t>No</t>
        </is>
      </c>
    </row>
    <row r="652">
      <c r="A652" t="inlineStr">
        <is>
          <t>CF0651</t>
        </is>
      </c>
      <c r="B652" t="inlineStr">
        <is>
          <t>No</t>
        </is>
      </c>
      <c r="C652" t="inlineStr">
        <is>
          <t>No</t>
        </is>
      </c>
    </row>
    <row r="653">
      <c r="A653" t="inlineStr">
        <is>
          <t>CF0652</t>
        </is>
      </c>
      <c r="B653" t="inlineStr">
        <is>
          <t>No</t>
        </is>
      </c>
      <c r="C653" t="inlineStr">
        <is>
          <t>No</t>
        </is>
      </c>
    </row>
    <row r="654">
      <c r="A654" t="inlineStr">
        <is>
          <t>CF0653</t>
        </is>
      </c>
      <c r="B654" t="inlineStr">
        <is>
          <t>No</t>
        </is>
      </c>
      <c r="C654" t="inlineStr">
        <is>
          <t>No</t>
        </is>
      </c>
    </row>
    <row r="655">
      <c r="A655" t="inlineStr">
        <is>
          <t>CF0654</t>
        </is>
      </c>
      <c r="B655" t="inlineStr">
        <is>
          <t>Yes</t>
        </is>
      </c>
      <c r="C655" t="inlineStr">
        <is>
          <t>Yes</t>
        </is>
      </c>
    </row>
    <row r="656">
      <c r="A656" t="inlineStr">
        <is>
          <t>CF0655</t>
        </is>
      </c>
      <c r="B656" t="inlineStr">
        <is>
          <t>No</t>
        </is>
      </c>
      <c r="C656" t="inlineStr">
        <is>
          <t>No</t>
        </is>
      </c>
    </row>
    <row r="657">
      <c r="A657" t="inlineStr">
        <is>
          <t>CF0656</t>
        </is>
      </c>
      <c r="B657" t="inlineStr">
        <is>
          <t>No</t>
        </is>
      </c>
      <c r="C657" t="inlineStr">
        <is>
          <t>Yes</t>
        </is>
      </c>
    </row>
    <row r="658">
      <c r="A658" t="inlineStr">
        <is>
          <t>CF0657</t>
        </is>
      </c>
      <c r="B658" t="inlineStr">
        <is>
          <t>No</t>
        </is>
      </c>
      <c r="C658" t="inlineStr">
        <is>
          <t>No</t>
        </is>
      </c>
    </row>
    <row r="659">
      <c r="A659" t="inlineStr">
        <is>
          <t>CF0658</t>
        </is>
      </c>
      <c r="B659" t="inlineStr">
        <is>
          <t>Yes</t>
        </is>
      </c>
      <c r="C659" t="inlineStr">
        <is>
          <t>Yes</t>
        </is>
      </c>
    </row>
    <row r="660">
      <c r="A660" t="inlineStr">
        <is>
          <t>CF0659</t>
        </is>
      </c>
      <c r="B660" t="inlineStr">
        <is>
          <t>No</t>
        </is>
      </c>
      <c r="C660" t="inlineStr">
        <is>
          <t>No</t>
        </is>
      </c>
    </row>
    <row r="661">
      <c r="A661" t="inlineStr">
        <is>
          <t>CF0660</t>
        </is>
      </c>
      <c r="B661" t="inlineStr">
        <is>
          <t>No</t>
        </is>
      </c>
      <c r="C661" t="inlineStr">
        <is>
          <t>No</t>
        </is>
      </c>
    </row>
    <row r="662">
      <c r="A662" t="inlineStr">
        <is>
          <t>CF0661</t>
        </is>
      </c>
      <c r="B662" t="inlineStr">
        <is>
          <t>No</t>
        </is>
      </c>
      <c r="C662" t="inlineStr">
        <is>
          <t>No</t>
        </is>
      </c>
    </row>
    <row r="663">
      <c r="A663" t="inlineStr">
        <is>
          <t>CF0662</t>
        </is>
      </c>
      <c r="B663" t="inlineStr">
        <is>
          <t>No</t>
        </is>
      </c>
      <c r="C663" t="inlineStr">
        <is>
          <t>Yes</t>
        </is>
      </c>
    </row>
    <row r="664">
      <c r="A664" t="inlineStr">
        <is>
          <t>CF0663</t>
        </is>
      </c>
      <c r="B664" t="inlineStr">
        <is>
          <t>No</t>
        </is>
      </c>
      <c r="C664" t="inlineStr">
        <is>
          <t>Yes</t>
        </is>
      </c>
    </row>
    <row r="665">
      <c r="A665" t="inlineStr">
        <is>
          <t>CF0664</t>
        </is>
      </c>
      <c r="B665" t="inlineStr">
        <is>
          <t>Yes</t>
        </is>
      </c>
      <c r="C665" t="inlineStr">
        <is>
          <t>Yes</t>
        </is>
      </c>
    </row>
    <row r="666">
      <c r="A666" t="inlineStr">
        <is>
          <t>CF0665</t>
        </is>
      </c>
      <c r="B666" t="inlineStr">
        <is>
          <t>No</t>
        </is>
      </c>
      <c r="C666" t="inlineStr">
        <is>
          <t>Yes</t>
        </is>
      </c>
    </row>
    <row r="667">
      <c r="A667" t="inlineStr">
        <is>
          <t>CF0666</t>
        </is>
      </c>
      <c r="B667" t="inlineStr">
        <is>
          <t>No</t>
        </is>
      </c>
      <c r="C667" t="inlineStr">
        <is>
          <t>No</t>
        </is>
      </c>
    </row>
    <row r="668">
      <c r="A668" t="inlineStr">
        <is>
          <t>CF0667</t>
        </is>
      </c>
      <c r="B668" t="inlineStr">
        <is>
          <t>No</t>
        </is>
      </c>
      <c r="C668" t="inlineStr">
        <is>
          <t>No</t>
        </is>
      </c>
    </row>
    <row r="669">
      <c r="A669" t="inlineStr">
        <is>
          <t>CF0668</t>
        </is>
      </c>
      <c r="B669" t="inlineStr">
        <is>
          <t>No</t>
        </is>
      </c>
      <c r="C669" t="inlineStr">
        <is>
          <t>No</t>
        </is>
      </c>
    </row>
    <row r="670">
      <c r="A670" t="inlineStr">
        <is>
          <t>CF0669</t>
        </is>
      </c>
      <c r="B670" t="inlineStr">
        <is>
          <t>Yes</t>
        </is>
      </c>
      <c r="C670" t="inlineStr">
        <is>
          <t>Yes</t>
        </is>
      </c>
    </row>
    <row r="671">
      <c r="A671" t="inlineStr">
        <is>
          <t>CF0670</t>
        </is>
      </c>
      <c r="B671" t="inlineStr">
        <is>
          <t>No</t>
        </is>
      </c>
      <c r="C671" t="inlineStr">
        <is>
          <t>No</t>
        </is>
      </c>
    </row>
    <row r="672">
      <c r="A672" t="inlineStr">
        <is>
          <t>CF0671</t>
        </is>
      </c>
      <c r="B672" t="inlineStr">
        <is>
          <t>No</t>
        </is>
      </c>
      <c r="C672" t="inlineStr">
        <is>
          <t>No</t>
        </is>
      </c>
    </row>
    <row r="673">
      <c r="A673" t="inlineStr">
        <is>
          <t>CF0672</t>
        </is>
      </c>
      <c r="B673" t="inlineStr">
        <is>
          <t>No</t>
        </is>
      </c>
      <c r="C673" t="inlineStr">
        <is>
          <t>No</t>
        </is>
      </c>
    </row>
    <row r="674">
      <c r="A674" t="inlineStr">
        <is>
          <t>CF0673</t>
        </is>
      </c>
      <c r="B674" t="inlineStr">
        <is>
          <t>Yes</t>
        </is>
      </c>
      <c r="C674" t="inlineStr">
        <is>
          <t>Yes</t>
        </is>
      </c>
    </row>
    <row r="675">
      <c r="A675" t="inlineStr">
        <is>
          <t>CF0674</t>
        </is>
      </c>
      <c r="B675" t="inlineStr">
        <is>
          <t>Yes</t>
        </is>
      </c>
      <c r="C675" t="inlineStr">
        <is>
          <t>Yes</t>
        </is>
      </c>
    </row>
    <row r="676">
      <c r="A676" t="inlineStr">
        <is>
          <t>CF0675</t>
        </is>
      </c>
      <c r="B676" t="inlineStr">
        <is>
          <t>No</t>
        </is>
      </c>
      <c r="C676" t="inlineStr">
        <is>
          <t>Yes</t>
        </is>
      </c>
    </row>
    <row r="677">
      <c r="A677" t="inlineStr">
        <is>
          <t>CF0676</t>
        </is>
      </c>
      <c r="B677" t="inlineStr">
        <is>
          <t>No</t>
        </is>
      </c>
      <c r="C677" t="inlineStr">
        <is>
          <t>No</t>
        </is>
      </c>
    </row>
    <row r="678">
      <c r="A678" t="inlineStr">
        <is>
          <t>CF0677</t>
        </is>
      </c>
      <c r="B678" t="inlineStr">
        <is>
          <t>Yes</t>
        </is>
      </c>
      <c r="C678" t="inlineStr">
        <is>
          <t>Yes</t>
        </is>
      </c>
    </row>
    <row r="679">
      <c r="A679" t="inlineStr">
        <is>
          <t>CF0678</t>
        </is>
      </c>
      <c r="B679" t="inlineStr">
        <is>
          <t>No</t>
        </is>
      </c>
      <c r="C679" t="inlineStr">
        <is>
          <t>No</t>
        </is>
      </c>
    </row>
    <row r="680">
      <c r="A680" t="inlineStr">
        <is>
          <t>CF0679</t>
        </is>
      </c>
      <c r="B680" t="inlineStr">
        <is>
          <t>No</t>
        </is>
      </c>
      <c r="C680" t="inlineStr">
        <is>
          <t>No</t>
        </is>
      </c>
    </row>
    <row r="681">
      <c r="A681" t="inlineStr">
        <is>
          <t>CF0680</t>
        </is>
      </c>
      <c r="B681" t="inlineStr">
        <is>
          <t>No</t>
        </is>
      </c>
      <c r="C681" t="inlineStr">
        <is>
          <t>No</t>
        </is>
      </c>
    </row>
    <row r="682">
      <c r="A682" t="inlineStr">
        <is>
          <t>CF0681</t>
        </is>
      </c>
      <c r="B682" t="inlineStr">
        <is>
          <t>Yes</t>
        </is>
      </c>
      <c r="C682" t="inlineStr">
        <is>
          <t>Yes</t>
        </is>
      </c>
    </row>
    <row r="683">
      <c r="A683" t="inlineStr">
        <is>
          <t>CF0682</t>
        </is>
      </c>
      <c r="B683" t="inlineStr">
        <is>
          <t>No</t>
        </is>
      </c>
      <c r="C683" t="inlineStr">
        <is>
          <t>No</t>
        </is>
      </c>
    </row>
    <row r="684">
      <c r="A684" t="inlineStr">
        <is>
          <t>CF0683</t>
        </is>
      </c>
      <c r="B684" t="inlineStr">
        <is>
          <t>No</t>
        </is>
      </c>
      <c r="C684" t="inlineStr">
        <is>
          <t>No</t>
        </is>
      </c>
    </row>
    <row r="685">
      <c r="A685" t="inlineStr">
        <is>
          <t>CF0684</t>
        </is>
      </c>
      <c r="B685" t="inlineStr">
        <is>
          <t>No</t>
        </is>
      </c>
      <c r="C685" t="inlineStr">
        <is>
          <t>No</t>
        </is>
      </c>
    </row>
    <row r="686">
      <c r="A686" t="inlineStr">
        <is>
          <t>CF0685</t>
        </is>
      </c>
      <c r="B686" t="inlineStr">
        <is>
          <t>No</t>
        </is>
      </c>
      <c r="C686" t="inlineStr">
        <is>
          <t>No</t>
        </is>
      </c>
    </row>
    <row r="687">
      <c r="A687" t="inlineStr">
        <is>
          <t>CF0686</t>
        </is>
      </c>
      <c r="B687" t="inlineStr">
        <is>
          <t>Yes</t>
        </is>
      </c>
      <c r="C687" t="inlineStr">
        <is>
          <t>Yes</t>
        </is>
      </c>
    </row>
    <row r="688">
      <c r="A688" t="inlineStr">
        <is>
          <t>CF0687</t>
        </is>
      </c>
      <c r="B688" t="inlineStr">
        <is>
          <t>No</t>
        </is>
      </c>
      <c r="C688" t="inlineStr">
        <is>
          <t>No</t>
        </is>
      </c>
    </row>
    <row r="689">
      <c r="A689" t="inlineStr">
        <is>
          <t>CF0688</t>
        </is>
      </c>
      <c r="B689" t="inlineStr">
        <is>
          <t>No</t>
        </is>
      </c>
      <c r="C689" t="inlineStr">
        <is>
          <t>No</t>
        </is>
      </c>
    </row>
    <row r="690">
      <c r="A690" t="inlineStr">
        <is>
          <t>CF0689</t>
        </is>
      </c>
      <c r="B690" t="inlineStr">
        <is>
          <t>No</t>
        </is>
      </c>
      <c r="C690" t="inlineStr">
        <is>
          <t>No</t>
        </is>
      </c>
    </row>
    <row r="691">
      <c r="A691" t="inlineStr">
        <is>
          <t>CF0690</t>
        </is>
      </c>
      <c r="B691" t="inlineStr">
        <is>
          <t>Yes</t>
        </is>
      </c>
      <c r="C691" t="inlineStr">
        <is>
          <t>Yes</t>
        </is>
      </c>
    </row>
    <row r="692">
      <c r="A692" t="inlineStr">
        <is>
          <t>CF0691</t>
        </is>
      </c>
      <c r="B692" t="inlineStr">
        <is>
          <t>No</t>
        </is>
      </c>
      <c r="C692" t="inlineStr">
        <is>
          <t>No</t>
        </is>
      </c>
    </row>
    <row r="693">
      <c r="A693" t="inlineStr">
        <is>
          <t>CF0692</t>
        </is>
      </c>
      <c r="B693" t="inlineStr">
        <is>
          <t>No</t>
        </is>
      </c>
      <c r="C693" t="inlineStr">
        <is>
          <t>Yes</t>
        </is>
      </c>
    </row>
    <row r="694">
      <c r="A694" t="inlineStr">
        <is>
          <t>CF0693</t>
        </is>
      </c>
      <c r="B694" t="inlineStr">
        <is>
          <t>No</t>
        </is>
      </c>
      <c r="C694" t="inlineStr">
        <is>
          <t>No</t>
        </is>
      </c>
    </row>
    <row r="695">
      <c r="A695" t="inlineStr">
        <is>
          <t>CF0694</t>
        </is>
      </c>
      <c r="B695" t="inlineStr">
        <is>
          <t>Yes</t>
        </is>
      </c>
      <c r="C695" t="inlineStr">
        <is>
          <t>Yes</t>
        </is>
      </c>
    </row>
    <row r="696">
      <c r="A696" t="inlineStr">
        <is>
          <t>CF0695</t>
        </is>
      </c>
      <c r="B696" t="inlineStr">
        <is>
          <t>Yes</t>
        </is>
      </c>
      <c r="C696" t="inlineStr">
        <is>
          <t>Yes</t>
        </is>
      </c>
    </row>
    <row r="697">
      <c r="A697" t="inlineStr">
        <is>
          <t>CF0696</t>
        </is>
      </c>
      <c r="B697" t="inlineStr">
        <is>
          <t>No</t>
        </is>
      </c>
      <c r="C697" t="inlineStr">
        <is>
          <t>No</t>
        </is>
      </c>
    </row>
    <row r="698">
      <c r="A698" t="inlineStr">
        <is>
          <t>CF0697</t>
        </is>
      </c>
      <c r="B698" t="inlineStr">
        <is>
          <t>No</t>
        </is>
      </c>
      <c r="C698" t="inlineStr">
        <is>
          <t>No</t>
        </is>
      </c>
    </row>
    <row r="699">
      <c r="A699" t="inlineStr">
        <is>
          <t>CF0698</t>
        </is>
      </c>
      <c r="B699" t="inlineStr">
        <is>
          <t>No</t>
        </is>
      </c>
      <c r="C699" t="inlineStr">
        <is>
          <t>Yes</t>
        </is>
      </c>
    </row>
    <row r="700">
      <c r="A700" t="inlineStr">
        <is>
          <t>CF0699</t>
        </is>
      </c>
      <c r="B700" t="inlineStr">
        <is>
          <t>No</t>
        </is>
      </c>
      <c r="C700" t="inlineStr">
        <is>
          <t>No</t>
        </is>
      </c>
    </row>
    <row r="701">
      <c r="A701" t="inlineStr">
        <is>
          <t>CF0700</t>
        </is>
      </c>
      <c r="B701" t="inlineStr">
        <is>
          <t>No</t>
        </is>
      </c>
      <c r="C701" t="inlineStr">
        <is>
          <t>No</t>
        </is>
      </c>
    </row>
    <row r="702">
      <c r="A702" t="inlineStr">
        <is>
          <t>CF0701</t>
        </is>
      </c>
      <c r="B702" t="inlineStr">
        <is>
          <t>Yes</t>
        </is>
      </c>
      <c r="C702" t="inlineStr">
        <is>
          <t>Yes</t>
        </is>
      </c>
    </row>
    <row r="703">
      <c r="A703" t="inlineStr">
        <is>
          <t>CF0702</t>
        </is>
      </c>
      <c r="B703" t="inlineStr">
        <is>
          <t>No</t>
        </is>
      </c>
      <c r="C703" t="inlineStr">
        <is>
          <t>No</t>
        </is>
      </c>
    </row>
    <row r="704">
      <c r="A704" t="inlineStr">
        <is>
          <t>CF0703</t>
        </is>
      </c>
      <c r="B704" t="inlineStr">
        <is>
          <t>No</t>
        </is>
      </c>
      <c r="C704" t="inlineStr">
        <is>
          <t>No</t>
        </is>
      </c>
    </row>
    <row r="705">
      <c r="A705" t="inlineStr">
        <is>
          <t>CF0704</t>
        </is>
      </c>
      <c r="B705" t="inlineStr">
        <is>
          <t>No</t>
        </is>
      </c>
      <c r="C705" t="inlineStr">
        <is>
          <t>No</t>
        </is>
      </c>
    </row>
    <row r="706">
      <c r="A706" t="inlineStr">
        <is>
          <t>CF0705</t>
        </is>
      </c>
      <c r="B706" t="inlineStr">
        <is>
          <t>No</t>
        </is>
      </c>
      <c r="C706" t="inlineStr">
        <is>
          <t>No</t>
        </is>
      </c>
    </row>
    <row r="707">
      <c r="A707" t="inlineStr">
        <is>
          <t>CF0706</t>
        </is>
      </c>
      <c r="B707" t="inlineStr">
        <is>
          <t>No</t>
        </is>
      </c>
      <c r="C707" t="inlineStr">
        <is>
          <t>No</t>
        </is>
      </c>
    </row>
    <row r="708">
      <c r="A708" t="inlineStr">
        <is>
          <t>CF0707</t>
        </is>
      </c>
      <c r="B708" t="inlineStr">
        <is>
          <t>No</t>
        </is>
      </c>
      <c r="C708" t="inlineStr">
        <is>
          <t>No</t>
        </is>
      </c>
    </row>
    <row r="709">
      <c r="A709" t="inlineStr">
        <is>
          <t>CF0708</t>
        </is>
      </c>
      <c r="B709" t="inlineStr">
        <is>
          <t>No</t>
        </is>
      </c>
      <c r="C709" t="inlineStr">
        <is>
          <t>No</t>
        </is>
      </c>
    </row>
    <row r="710">
      <c r="A710" t="inlineStr">
        <is>
          <t>CF0709</t>
        </is>
      </c>
      <c r="B710" t="inlineStr">
        <is>
          <t>No</t>
        </is>
      </c>
      <c r="C710" t="inlineStr">
        <is>
          <t>No</t>
        </is>
      </c>
    </row>
    <row r="711">
      <c r="A711" t="inlineStr">
        <is>
          <t>CF0710</t>
        </is>
      </c>
      <c r="B711" t="inlineStr">
        <is>
          <t>No</t>
        </is>
      </c>
      <c r="C711" t="inlineStr">
        <is>
          <t>No</t>
        </is>
      </c>
    </row>
    <row r="712">
      <c r="A712" t="inlineStr">
        <is>
          <t>CF0711</t>
        </is>
      </c>
      <c r="B712" t="inlineStr">
        <is>
          <t>No</t>
        </is>
      </c>
      <c r="C712" t="inlineStr">
        <is>
          <t>Yes</t>
        </is>
      </c>
    </row>
    <row r="713">
      <c r="A713" t="inlineStr">
        <is>
          <t>CF0712</t>
        </is>
      </c>
      <c r="B713" t="inlineStr">
        <is>
          <t>No</t>
        </is>
      </c>
      <c r="C713" t="inlineStr">
        <is>
          <t>Yes</t>
        </is>
      </c>
    </row>
    <row r="714">
      <c r="A714" t="inlineStr">
        <is>
          <t>CF0713</t>
        </is>
      </c>
      <c r="B714" t="inlineStr">
        <is>
          <t>No</t>
        </is>
      </c>
      <c r="C714" t="inlineStr">
        <is>
          <t>No</t>
        </is>
      </c>
    </row>
    <row r="715">
      <c r="A715" t="inlineStr">
        <is>
          <t>CF0714</t>
        </is>
      </c>
      <c r="B715" t="inlineStr">
        <is>
          <t>No</t>
        </is>
      </c>
      <c r="C715" t="inlineStr">
        <is>
          <t>No</t>
        </is>
      </c>
    </row>
    <row r="716">
      <c r="A716" t="inlineStr">
        <is>
          <t>CF0715</t>
        </is>
      </c>
      <c r="B716" t="inlineStr">
        <is>
          <t>No</t>
        </is>
      </c>
      <c r="C716" t="inlineStr">
        <is>
          <t>No</t>
        </is>
      </c>
    </row>
    <row r="717">
      <c r="A717" t="inlineStr">
        <is>
          <t>CF0716</t>
        </is>
      </c>
      <c r="B717" t="inlineStr">
        <is>
          <t>No</t>
        </is>
      </c>
      <c r="C717" t="inlineStr">
        <is>
          <t>No</t>
        </is>
      </c>
    </row>
    <row r="718">
      <c r="A718" t="inlineStr">
        <is>
          <t>CF0717</t>
        </is>
      </c>
      <c r="B718" t="inlineStr">
        <is>
          <t>No</t>
        </is>
      </c>
      <c r="C718" t="inlineStr">
        <is>
          <t>No</t>
        </is>
      </c>
    </row>
    <row r="719">
      <c r="A719" t="inlineStr">
        <is>
          <t>CF0718</t>
        </is>
      </c>
      <c r="B719" t="inlineStr">
        <is>
          <t>No</t>
        </is>
      </c>
      <c r="C719" t="inlineStr">
        <is>
          <t>No</t>
        </is>
      </c>
    </row>
    <row r="720">
      <c r="A720" t="inlineStr">
        <is>
          <t>CF0719</t>
        </is>
      </c>
      <c r="B720" t="inlineStr">
        <is>
          <t>No</t>
        </is>
      </c>
      <c r="C720" t="inlineStr">
        <is>
          <t>Yes</t>
        </is>
      </c>
    </row>
    <row r="721">
      <c r="A721" t="inlineStr">
        <is>
          <t>CF0720</t>
        </is>
      </c>
      <c r="B721" t="inlineStr">
        <is>
          <t>No</t>
        </is>
      </c>
      <c r="C721" t="inlineStr">
        <is>
          <t>Yes</t>
        </is>
      </c>
    </row>
    <row r="722">
      <c r="A722" t="inlineStr">
        <is>
          <t>CF0721</t>
        </is>
      </c>
      <c r="B722" t="inlineStr">
        <is>
          <t>No</t>
        </is>
      </c>
      <c r="C722" t="inlineStr">
        <is>
          <t>Yes</t>
        </is>
      </c>
    </row>
    <row r="723">
      <c r="A723" t="inlineStr">
        <is>
          <t>CF0722</t>
        </is>
      </c>
      <c r="B723" t="inlineStr">
        <is>
          <t>No</t>
        </is>
      </c>
      <c r="C723" t="inlineStr">
        <is>
          <t>No</t>
        </is>
      </c>
    </row>
    <row r="724">
      <c r="A724" t="inlineStr">
        <is>
          <t>CF0723</t>
        </is>
      </c>
      <c r="B724" t="inlineStr">
        <is>
          <t>No</t>
        </is>
      </c>
      <c r="C724" t="inlineStr">
        <is>
          <t>No</t>
        </is>
      </c>
    </row>
    <row r="725">
      <c r="A725" t="inlineStr">
        <is>
          <t>CF0724</t>
        </is>
      </c>
      <c r="B725" t="inlineStr">
        <is>
          <t>No</t>
        </is>
      </c>
      <c r="C725" t="inlineStr">
        <is>
          <t>No</t>
        </is>
      </c>
    </row>
    <row r="726">
      <c r="A726" t="inlineStr">
        <is>
          <t>CF0725</t>
        </is>
      </c>
      <c r="B726" t="inlineStr">
        <is>
          <t>No</t>
        </is>
      </c>
      <c r="C726" t="inlineStr">
        <is>
          <t>No</t>
        </is>
      </c>
    </row>
    <row r="727">
      <c r="A727" t="inlineStr">
        <is>
          <t>CF0726</t>
        </is>
      </c>
      <c r="B727" t="inlineStr">
        <is>
          <t>No</t>
        </is>
      </c>
      <c r="C727" t="inlineStr">
        <is>
          <t>Yes</t>
        </is>
      </c>
    </row>
    <row r="728">
      <c r="A728" t="inlineStr">
        <is>
          <t>CF0727</t>
        </is>
      </c>
      <c r="B728" t="inlineStr">
        <is>
          <t>No</t>
        </is>
      </c>
      <c r="C728" t="inlineStr">
        <is>
          <t>No</t>
        </is>
      </c>
    </row>
    <row r="729">
      <c r="A729" t="inlineStr">
        <is>
          <t>CF0728</t>
        </is>
      </c>
      <c r="B729" t="inlineStr">
        <is>
          <t>No</t>
        </is>
      </c>
      <c r="C729" t="inlineStr">
        <is>
          <t>No</t>
        </is>
      </c>
    </row>
    <row r="730">
      <c r="A730" t="inlineStr">
        <is>
          <t>CF0729</t>
        </is>
      </c>
      <c r="B730" t="inlineStr">
        <is>
          <t>No</t>
        </is>
      </c>
      <c r="C730" t="inlineStr">
        <is>
          <t>Yes</t>
        </is>
      </c>
    </row>
    <row r="731">
      <c r="A731" t="inlineStr">
        <is>
          <t>CF0730</t>
        </is>
      </c>
      <c r="B731" t="inlineStr">
        <is>
          <t>No</t>
        </is>
      </c>
      <c r="C731" t="inlineStr">
        <is>
          <t>Yes</t>
        </is>
      </c>
    </row>
    <row r="732">
      <c r="A732" t="inlineStr">
        <is>
          <t>CF0731</t>
        </is>
      </c>
      <c r="B732" t="inlineStr">
        <is>
          <t>No</t>
        </is>
      </c>
      <c r="C732" t="inlineStr">
        <is>
          <t>No</t>
        </is>
      </c>
    </row>
    <row r="733">
      <c r="A733" t="inlineStr">
        <is>
          <t>CF0732</t>
        </is>
      </c>
      <c r="B733" t="inlineStr">
        <is>
          <t>No</t>
        </is>
      </c>
      <c r="C733" t="inlineStr">
        <is>
          <t>No</t>
        </is>
      </c>
    </row>
    <row r="734">
      <c r="A734" t="inlineStr">
        <is>
          <t>CF0733</t>
        </is>
      </c>
      <c r="B734" t="inlineStr">
        <is>
          <t>No</t>
        </is>
      </c>
      <c r="C734" t="inlineStr">
        <is>
          <t>No</t>
        </is>
      </c>
    </row>
    <row r="735">
      <c r="A735" t="inlineStr">
        <is>
          <t>CF0734</t>
        </is>
      </c>
      <c r="B735" t="inlineStr">
        <is>
          <t>No</t>
        </is>
      </c>
      <c r="C735" t="inlineStr">
        <is>
          <t>No</t>
        </is>
      </c>
    </row>
    <row r="736">
      <c r="A736" t="inlineStr">
        <is>
          <t>CF0735</t>
        </is>
      </c>
      <c r="B736" t="inlineStr">
        <is>
          <t>Yes</t>
        </is>
      </c>
      <c r="C736" t="inlineStr">
        <is>
          <t>Yes</t>
        </is>
      </c>
    </row>
    <row r="737">
      <c r="A737" t="inlineStr">
        <is>
          <t>CF0736</t>
        </is>
      </c>
      <c r="B737" t="inlineStr">
        <is>
          <t>No</t>
        </is>
      </c>
      <c r="C737" t="inlineStr">
        <is>
          <t>No</t>
        </is>
      </c>
    </row>
    <row r="738">
      <c r="A738" t="inlineStr">
        <is>
          <t>CF0737</t>
        </is>
      </c>
      <c r="B738" t="inlineStr">
        <is>
          <t>Yes</t>
        </is>
      </c>
      <c r="C738" t="inlineStr">
        <is>
          <t>Yes</t>
        </is>
      </c>
    </row>
    <row r="739">
      <c r="A739" t="inlineStr">
        <is>
          <t>CF0738</t>
        </is>
      </c>
      <c r="B739" t="inlineStr">
        <is>
          <t>No</t>
        </is>
      </c>
      <c r="C739" t="inlineStr">
        <is>
          <t>No</t>
        </is>
      </c>
    </row>
    <row r="740">
      <c r="A740" t="inlineStr">
        <is>
          <t>CF0739</t>
        </is>
      </c>
      <c r="B740" t="inlineStr">
        <is>
          <t>No</t>
        </is>
      </c>
      <c r="C740" t="inlineStr">
        <is>
          <t>No</t>
        </is>
      </c>
    </row>
    <row r="741">
      <c r="A741" t="inlineStr">
        <is>
          <t>CF0740</t>
        </is>
      </c>
      <c r="B741" t="inlineStr">
        <is>
          <t>No</t>
        </is>
      </c>
      <c r="C741" t="inlineStr">
        <is>
          <t>No</t>
        </is>
      </c>
    </row>
    <row r="742">
      <c r="A742" t="inlineStr">
        <is>
          <t>CF0741</t>
        </is>
      </c>
      <c r="B742" t="inlineStr">
        <is>
          <t>No</t>
        </is>
      </c>
      <c r="C742" t="inlineStr">
        <is>
          <t>No</t>
        </is>
      </c>
    </row>
    <row r="743">
      <c r="A743" t="inlineStr">
        <is>
          <t>CF0742</t>
        </is>
      </c>
      <c r="B743" t="inlineStr">
        <is>
          <t>No</t>
        </is>
      </c>
      <c r="C743" t="inlineStr">
        <is>
          <t>No</t>
        </is>
      </c>
    </row>
    <row r="744">
      <c r="A744" t="inlineStr">
        <is>
          <t>CF0743</t>
        </is>
      </c>
      <c r="B744" t="inlineStr">
        <is>
          <t>No</t>
        </is>
      </c>
      <c r="C744" t="inlineStr">
        <is>
          <t>No</t>
        </is>
      </c>
    </row>
    <row r="745">
      <c r="A745" t="inlineStr">
        <is>
          <t>CF0744</t>
        </is>
      </c>
      <c r="B745" t="inlineStr">
        <is>
          <t>No</t>
        </is>
      </c>
      <c r="C745" t="inlineStr">
        <is>
          <t>No</t>
        </is>
      </c>
    </row>
    <row r="746">
      <c r="A746" t="inlineStr">
        <is>
          <t>CF0745</t>
        </is>
      </c>
      <c r="B746" t="inlineStr">
        <is>
          <t>No</t>
        </is>
      </c>
      <c r="C746" t="inlineStr">
        <is>
          <t>No</t>
        </is>
      </c>
    </row>
    <row r="747">
      <c r="A747" t="inlineStr">
        <is>
          <t>CF0746</t>
        </is>
      </c>
      <c r="B747" t="inlineStr">
        <is>
          <t>No</t>
        </is>
      </c>
      <c r="C747" t="inlineStr">
        <is>
          <t>No</t>
        </is>
      </c>
    </row>
    <row r="748">
      <c r="A748" t="inlineStr">
        <is>
          <t>CF0747</t>
        </is>
      </c>
      <c r="B748" t="inlineStr">
        <is>
          <t>No</t>
        </is>
      </c>
      <c r="C748" t="inlineStr">
        <is>
          <t>No</t>
        </is>
      </c>
    </row>
    <row r="749">
      <c r="A749" t="inlineStr">
        <is>
          <t>CF0748</t>
        </is>
      </c>
      <c r="B749" t="inlineStr">
        <is>
          <t>No</t>
        </is>
      </c>
      <c r="C749" t="inlineStr">
        <is>
          <t>Yes</t>
        </is>
      </c>
    </row>
    <row r="750">
      <c r="A750" t="inlineStr">
        <is>
          <t>CF0749</t>
        </is>
      </c>
      <c r="B750" t="inlineStr">
        <is>
          <t>No</t>
        </is>
      </c>
      <c r="C750" t="inlineStr">
        <is>
          <t>No</t>
        </is>
      </c>
    </row>
    <row r="751">
      <c r="A751" t="inlineStr">
        <is>
          <t>CF0750</t>
        </is>
      </c>
      <c r="B751" t="inlineStr">
        <is>
          <t>No</t>
        </is>
      </c>
      <c r="C751" t="inlineStr">
        <is>
          <t>No</t>
        </is>
      </c>
    </row>
    <row r="752">
      <c r="A752" t="inlineStr">
        <is>
          <t>CF0751</t>
        </is>
      </c>
      <c r="B752" t="inlineStr">
        <is>
          <t>No</t>
        </is>
      </c>
      <c r="C752" t="inlineStr">
        <is>
          <t>Yes</t>
        </is>
      </c>
    </row>
    <row r="753">
      <c r="A753" t="inlineStr">
        <is>
          <t>CF0752</t>
        </is>
      </c>
      <c r="B753" t="inlineStr">
        <is>
          <t>No</t>
        </is>
      </c>
      <c r="C753" t="inlineStr">
        <is>
          <t>No</t>
        </is>
      </c>
    </row>
    <row r="754">
      <c r="A754" t="inlineStr">
        <is>
          <t>CF0753</t>
        </is>
      </c>
      <c r="B754" t="inlineStr">
        <is>
          <t>No</t>
        </is>
      </c>
      <c r="C754" t="inlineStr">
        <is>
          <t>No</t>
        </is>
      </c>
    </row>
    <row r="755">
      <c r="A755" t="inlineStr">
        <is>
          <t>CF0754</t>
        </is>
      </c>
      <c r="B755" t="inlineStr">
        <is>
          <t>No</t>
        </is>
      </c>
      <c r="C755" t="inlineStr">
        <is>
          <t>No</t>
        </is>
      </c>
    </row>
    <row r="756">
      <c r="A756" t="inlineStr">
        <is>
          <t>CF0755</t>
        </is>
      </c>
      <c r="B756" t="inlineStr">
        <is>
          <t>No</t>
        </is>
      </c>
      <c r="C756" t="inlineStr">
        <is>
          <t>No</t>
        </is>
      </c>
    </row>
    <row r="757">
      <c r="A757" t="inlineStr">
        <is>
          <t>CF0756</t>
        </is>
      </c>
      <c r="B757" t="inlineStr">
        <is>
          <t>No</t>
        </is>
      </c>
      <c r="C757" t="inlineStr">
        <is>
          <t>No</t>
        </is>
      </c>
    </row>
    <row r="758">
      <c r="A758" t="inlineStr">
        <is>
          <t>CF0757</t>
        </is>
      </c>
      <c r="B758" t="inlineStr">
        <is>
          <t>No</t>
        </is>
      </c>
      <c r="C758" t="inlineStr">
        <is>
          <t>No</t>
        </is>
      </c>
    </row>
    <row r="759">
      <c r="A759" t="inlineStr">
        <is>
          <t>CF0758</t>
        </is>
      </c>
      <c r="B759" t="inlineStr">
        <is>
          <t>No</t>
        </is>
      </c>
      <c r="C759" t="inlineStr">
        <is>
          <t>No</t>
        </is>
      </c>
    </row>
    <row r="760">
      <c r="A760" t="inlineStr">
        <is>
          <t>CF0759</t>
        </is>
      </c>
      <c r="B760" t="inlineStr">
        <is>
          <t>No</t>
        </is>
      </c>
      <c r="C760" t="inlineStr">
        <is>
          <t>Yes</t>
        </is>
      </c>
    </row>
    <row r="761">
      <c r="A761" t="inlineStr">
        <is>
          <t>CF0760</t>
        </is>
      </c>
      <c r="B761" t="inlineStr">
        <is>
          <t>No</t>
        </is>
      </c>
      <c r="C761" t="inlineStr">
        <is>
          <t>No</t>
        </is>
      </c>
    </row>
    <row r="762">
      <c r="A762" t="inlineStr">
        <is>
          <t>CF0761</t>
        </is>
      </c>
      <c r="B762" t="inlineStr">
        <is>
          <t>No</t>
        </is>
      </c>
      <c r="C762" t="inlineStr">
        <is>
          <t>No</t>
        </is>
      </c>
    </row>
    <row r="763">
      <c r="A763" t="inlineStr">
        <is>
          <t>CF0762</t>
        </is>
      </c>
      <c r="B763" t="inlineStr">
        <is>
          <t>No</t>
        </is>
      </c>
      <c r="C763" t="inlineStr">
        <is>
          <t>Yes</t>
        </is>
      </c>
    </row>
    <row r="764">
      <c r="A764" t="inlineStr">
        <is>
          <t>CF0763</t>
        </is>
      </c>
      <c r="B764" t="inlineStr">
        <is>
          <t>Yes</t>
        </is>
      </c>
      <c r="C764" t="inlineStr">
        <is>
          <t>Yes</t>
        </is>
      </c>
    </row>
    <row r="765">
      <c r="A765" t="inlineStr">
        <is>
          <t>CF0764</t>
        </is>
      </c>
      <c r="B765" t="inlineStr">
        <is>
          <t>Yes</t>
        </is>
      </c>
      <c r="C765" t="inlineStr">
        <is>
          <t>Yes</t>
        </is>
      </c>
    </row>
    <row r="766">
      <c r="A766" t="inlineStr">
        <is>
          <t>CF0765</t>
        </is>
      </c>
      <c r="B766" t="inlineStr">
        <is>
          <t>No</t>
        </is>
      </c>
      <c r="C766" t="inlineStr">
        <is>
          <t>No</t>
        </is>
      </c>
    </row>
    <row r="767">
      <c r="A767" t="inlineStr">
        <is>
          <t>CF0766</t>
        </is>
      </c>
      <c r="B767" t="inlineStr">
        <is>
          <t>No</t>
        </is>
      </c>
      <c r="C767" t="inlineStr">
        <is>
          <t>No</t>
        </is>
      </c>
    </row>
    <row r="768">
      <c r="A768" t="inlineStr">
        <is>
          <t>CF0767</t>
        </is>
      </c>
      <c r="B768" t="inlineStr">
        <is>
          <t>No</t>
        </is>
      </c>
      <c r="C768" t="inlineStr">
        <is>
          <t>No</t>
        </is>
      </c>
    </row>
    <row r="769">
      <c r="A769" t="inlineStr">
        <is>
          <t>CF0768</t>
        </is>
      </c>
      <c r="B769" t="inlineStr">
        <is>
          <t>No</t>
        </is>
      </c>
      <c r="C769" t="inlineStr">
        <is>
          <t>No</t>
        </is>
      </c>
    </row>
    <row r="770">
      <c r="A770" t="inlineStr">
        <is>
          <t>CF0769</t>
        </is>
      </c>
      <c r="B770" t="inlineStr">
        <is>
          <t>No</t>
        </is>
      </c>
      <c r="C770" t="inlineStr">
        <is>
          <t>Yes</t>
        </is>
      </c>
    </row>
    <row r="771">
      <c r="A771" t="inlineStr">
        <is>
          <t>CF0770</t>
        </is>
      </c>
      <c r="B771" t="inlineStr">
        <is>
          <t>No</t>
        </is>
      </c>
      <c r="C771" t="inlineStr">
        <is>
          <t>No</t>
        </is>
      </c>
    </row>
    <row r="772">
      <c r="A772" t="inlineStr">
        <is>
          <t>CF0771</t>
        </is>
      </c>
      <c r="B772" t="inlineStr">
        <is>
          <t>Yes</t>
        </is>
      </c>
      <c r="C772" t="inlineStr">
        <is>
          <t>Yes</t>
        </is>
      </c>
    </row>
    <row r="773">
      <c r="A773" t="inlineStr">
        <is>
          <t>CF0772</t>
        </is>
      </c>
      <c r="B773" t="inlineStr">
        <is>
          <t>No</t>
        </is>
      </c>
      <c r="C773" t="inlineStr">
        <is>
          <t>No</t>
        </is>
      </c>
    </row>
    <row r="774">
      <c r="A774" t="inlineStr">
        <is>
          <t>CF0773</t>
        </is>
      </c>
      <c r="B774" t="inlineStr">
        <is>
          <t>Yes</t>
        </is>
      </c>
      <c r="C774" t="inlineStr">
        <is>
          <t>Yes</t>
        </is>
      </c>
    </row>
    <row r="775">
      <c r="A775" t="inlineStr">
        <is>
          <t>CF0774</t>
        </is>
      </c>
      <c r="B775" t="inlineStr">
        <is>
          <t>No</t>
        </is>
      </c>
      <c r="C775" t="inlineStr">
        <is>
          <t>No</t>
        </is>
      </c>
    </row>
    <row r="776">
      <c r="A776" t="inlineStr">
        <is>
          <t>CF0775</t>
        </is>
      </c>
      <c r="B776" t="inlineStr">
        <is>
          <t>No</t>
        </is>
      </c>
      <c r="C776" t="inlineStr">
        <is>
          <t>Yes</t>
        </is>
      </c>
    </row>
    <row r="777">
      <c r="A777" t="inlineStr">
        <is>
          <t>CF0776</t>
        </is>
      </c>
      <c r="B777" t="inlineStr">
        <is>
          <t>No</t>
        </is>
      </c>
      <c r="C777" t="inlineStr">
        <is>
          <t>No</t>
        </is>
      </c>
    </row>
    <row r="778">
      <c r="A778" t="inlineStr">
        <is>
          <t>CF0777</t>
        </is>
      </c>
      <c r="B778" t="inlineStr">
        <is>
          <t>No</t>
        </is>
      </c>
      <c r="C778" t="inlineStr">
        <is>
          <t>No</t>
        </is>
      </c>
    </row>
    <row r="779">
      <c r="A779" t="inlineStr">
        <is>
          <t>CF0778</t>
        </is>
      </c>
      <c r="B779" t="inlineStr">
        <is>
          <t>No</t>
        </is>
      </c>
      <c r="C779" t="inlineStr">
        <is>
          <t>No</t>
        </is>
      </c>
    </row>
    <row r="780">
      <c r="A780" t="inlineStr">
        <is>
          <t>CF0779</t>
        </is>
      </c>
      <c r="B780" t="inlineStr">
        <is>
          <t>No</t>
        </is>
      </c>
      <c r="C780" t="inlineStr">
        <is>
          <t>No</t>
        </is>
      </c>
    </row>
    <row r="781">
      <c r="A781" t="inlineStr">
        <is>
          <t>CF0780</t>
        </is>
      </c>
      <c r="B781" t="inlineStr">
        <is>
          <t>No</t>
        </is>
      </c>
      <c r="C781" t="inlineStr">
        <is>
          <t>No</t>
        </is>
      </c>
    </row>
    <row r="782">
      <c r="A782" t="inlineStr">
        <is>
          <t>CF0781</t>
        </is>
      </c>
      <c r="B782" t="inlineStr">
        <is>
          <t>No</t>
        </is>
      </c>
      <c r="C782" t="inlineStr">
        <is>
          <t>No</t>
        </is>
      </c>
    </row>
    <row r="783">
      <c r="A783" t="inlineStr">
        <is>
          <t>CF0782</t>
        </is>
      </c>
      <c r="B783" t="inlineStr">
        <is>
          <t>No</t>
        </is>
      </c>
      <c r="C783" t="inlineStr">
        <is>
          <t>No</t>
        </is>
      </c>
    </row>
    <row r="784">
      <c r="A784" t="inlineStr">
        <is>
          <t>CF0783</t>
        </is>
      </c>
      <c r="B784" t="inlineStr">
        <is>
          <t>No</t>
        </is>
      </c>
      <c r="C784" t="inlineStr">
        <is>
          <t>No</t>
        </is>
      </c>
    </row>
    <row r="785">
      <c r="A785" t="inlineStr">
        <is>
          <t>CF0784</t>
        </is>
      </c>
      <c r="B785" t="inlineStr">
        <is>
          <t>No</t>
        </is>
      </c>
      <c r="C785" t="inlineStr">
        <is>
          <t>No</t>
        </is>
      </c>
    </row>
    <row r="786">
      <c r="A786" t="inlineStr">
        <is>
          <t>CF0785</t>
        </is>
      </c>
      <c r="B786" t="inlineStr">
        <is>
          <t>No</t>
        </is>
      </c>
      <c r="C786" t="inlineStr">
        <is>
          <t>No</t>
        </is>
      </c>
    </row>
    <row r="787">
      <c r="A787" t="inlineStr">
        <is>
          <t>CF0786</t>
        </is>
      </c>
      <c r="B787" t="inlineStr">
        <is>
          <t>No</t>
        </is>
      </c>
      <c r="C787" t="inlineStr">
        <is>
          <t>No</t>
        </is>
      </c>
    </row>
    <row r="788">
      <c r="A788" t="inlineStr">
        <is>
          <t>CF0787</t>
        </is>
      </c>
      <c r="B788" t="inlineStr">
        <is>
          <t>No</t>
        </is>
      </c>
      <c r="C788" t="inlineStr">
        <is>
          <t>No</t>
        </is>
      </c>
    </row>
    <row r="789">
      <c r="A789" t="inlineStr">
        <is>
          <t>CF0788</t>
        </is>
      </c>
      <c r="B789" t="inlineStr">
        <is>
          <t>No</t>
        </is>
      </c>
      <c r="C789" t="inlineStr">
        <is>
          <t>Yes</t>
        </is>
      </c>
    </row>
    <row r="790">
      <c r="A790" t="inlineStr">
        <is>
          <t>CF0789</t>
        </is>
      </c>
      <c r="B790" t="inlineStr">
        <is>
          <t>No</t>
        </is>
      </c>
      <c r="C790" t="inlineStr">
        <is>
          <t>No</t>
        </is>
      </c>
    </row>
    <row r="791">
      <c r="A791" t="inlineStr">
        <is>
          <t>CF0790</t>
        </is>
      </c>
      <c r="B791" t="inlineStr">
        <is>
          <t>No</t>
        </is>
      </c>
      <c r="C791" t="inlineStr">
        <is>
          <t>Yes</t>
        </is>
      </c>
    </row>
    <row r="792">
      <c r="A792" t="inlineStr">
        <is>
          <t>CF0791</t>
        </is>
      </c>
      <c r="B792" t="inlineStr">
        <is>
          <t>No</t>
        </is>
      </c>
      <c r="C792" t="inlineStr">
        <is>
          <t>No</t>
        </is>
      </c>
    </row>
    <row r="793">
      <c r="A793" t="inlineStr">
        <is>
          <t>CF0792</t>
        </is>
      </c>
      <c r="B793" t="inlineStr">
        <is>
          <t>No</t>
        </is>
      </c>
      <c r="C793" t="inlineStr">
        <is>
          <t>Yes</t>
        </is>
      </c>
    </row>
    <row r="794">
      <c r="A794" t="inlineStr">
        <is>
          <t>CF0793</t>
        </is>
      </c>
      <c r="B794" t="inlineStr">
        <is>
          <t>No</t>
        </is>
      </c>
      <c r="C794" t="inlineStr">
        <is>
          <t>No</t>
        </is>
      </c>
    </row>
    <row r="795">
      <c r="A795" t="inlineStr">
        <is>
          <t>CF0794</t>
        </is>
      </c>
      <c r="B795" t="inlineStr">
        <is>
          <t>No</t>
        </is>
      </c>
      <c r="C795" t="inlineStr">
        <is>
          <t>No</t>
        </is>
      </c>
    </row>
    <row r="796">
      <c r="A796" t="inlineStr">
        <is>
          <t>CF0795</t>
        </is>
      </c>
      <c r="B796" t="inlineStr">
        <is>
          <t>No</t>
        </is>
      </c>
      <c r="C796" t="inlineStr">
        <is>
          <t>No</t>
        </is>
      </c>
    </row>
    <row r="797">
      <c r="A797" t="inlineStr">
        <is>
          <t>CF0796</t>
        </is>
      </c>
      <c r="B797" t="inlineStr">
        <is>
          <t>No</t>
        </is>
      </c>
      <c r="C797" t="inlineStr">
        <is>
          <t>No</t>
        </is>
      </c>
    </row>
    <row r="798">
      <c r="A798" t="inlineStr">
        <is>
          <t>CF0797</t>
        </is>
      </c>
      <c r="B798" t="inlineStr">
        <is>
          <t>No</t>
        </is>
      </c>
      <c r="C798" t="inlineStr">
        <is>
          <t>No</t>
        </is>
      </c>
    </row>
    <row r="799">
      <c r="A799" t="inlineStr">
        <is>
          <t>CF0798</t>
        </is>
      </c>
      <c r="B799" t="inlineStr">
        <is>
          <t>No</t>
        </is>
      </c>
      <c r="C799" t="inlineStr">
        <is>
          <t>No</t>
        </is>
      </c>
    </row>
    <row r="800">
      <c r="A800" t="inlineStr">
        <is>
          <t>CF0799</t>
        </is>
      </c>
      <c r="B800" t="inlineStr">
        <is>
          <t>No</t>
        </is>
      </c>
      <c r="C800" t="inlineStr">
        <is>
          <t>No</t>
        </is>
      </c>
    </row>
    <row r="801">
      <c r="A801" t="inlineStr">
        <is>
          <t>CF0800</t>
        </is>
      </c>
      <c r="B801" t="inlineStr">
        <is>
          <t>No</t>
        </is>
      </c>
      <c r="C801" t="inlineStr">
        <is>
          <t>No</t>
        </is>
      </c>
    </row>
    <row r="802">
      <c r="A802" t="inlineStr">
        <is>
          <t>CF0801</t>
        </is>
      </c>
      <c r="B802" t="inlineStr">
        <is>
          <t>No</t>
        </is>
      </c>
      <c r="C802" t="inlineStr">
        <is>
          <t>Yes</t>
        </is>
      </c>
    </row>
    <row r="803">
      <c r="A803" t="inlineStr">
        <is>
          <t>CF0802</t>
        </is>
      </c>
      <c r="B803" t="inlineStr">
        <is>
          <t>No</t>
        </is>
      </c>
      <c r="C803" t="inlineStr">
        <is>
          <t>No</t>
        </is>
      </c>
    </row>
    <row r="804">
      <c r="A804" t="inlineStr">
        <is>
          <t>CF0803</t>
        </is>
      </c>
      <c r="B804" t="inlineStr">
        <is>
          <t>No</t>
        </is>
      </c>
      <c r="C804" t="inlineStr">
        <is>
          <t>No</t>
        </is>
      </c>
    </row>
    <row r="805">
      <c r="A805" t="inlineStr">
        <is>
          <t>CF0804</t>
        </is>
      </c>
      <c r="B805" t="inlineStr">
        <is>
          <t>No</t>
        </is>
      </c>
      <c r="C805" t="inlineStr">
        <is>
          <t>No</t>
        </is>
      </c>
    </row>
    <row r="806">
      <c r="A806" t="inlineStr">
        <is>
          <t>CF0805</t>
        </is>
      </c>
      <c r="B806" t="inlineStr">
        <is>
          <t>Yes</t>
        </is>
      </c>
      <c r="C806" t="inlineStr">
        <is>
          <t>Yes</t>
        </is>
      </c>
    </row>
    <row r="807">
      <c r="A807" t="inlineStr">
        <is>
          <t>CF0806</t>
        </is>
      </c>
      <c r="B807" t="inlineStr">
        <is>
          <t>Yes</t>
        </is>
      </c>
      <c r="C807" t="inlineStr">
        <is>
          <t>No</t>
        </is>
      </c>
    </row>
    <row r="808">
      <c r="A808" t="inlineStr">
        <is>
          <t>CF0807</t>
        </is>
      </c>
      <c r="B808" t="inlineStr">
        <is>
          <t>Yes</t>
        </is>
      </c>
      <c r="C808" t="inlineStr">
        <is>
          <t>Yes</t>
        </is>
      </c>
    </row>
    <row r="809">
      <c r="A809" t="inlineStr">
        <is>
          <t>CF0808</t>
        </is>
      </c>
      <c r="B809" t="inlineStr">
        <is>
          <t>No</t>
        </is>
      </c>
      <c r="C809" t="inlineStr">
        <is>
          <t>No</t>
        </is>
      </c>
    </row>
    <row r="810">
      <c r="A810" t="inlineStr">
        <is>
          <t>CF0809</t>
        </is>
      </c>
      <c r="B810" t="inlineStr">
        <is>
          <t>No</t>
        </is>
      </c>
      <c r="C810" t="inlineStr">
        <is>
          <t>No</t>
        </is>
      </c>
    </row>
    <row r="811">
      <c r="A811" t="inlineStr">
        <is>
          <t>CF0810</t>
        </is>
      </c>
      <c r="B811" t="inlineStr">
        <is>
          <t>No</t>
        </is>
      </c>
      <c r="C811" t="inlineStr">
        <is>
          <t>No</t>
        </is>
      </c>
    </row>
    <row r="812">
      <c r="A812" t="inlineStr">
        <is>
          <t>CF0811</t>
        </is>
      </c>
      <c r="B812" t="inlineStr">
        <is>
          <t>No</t>
        </is>
      </c>
      <c r="C812" t="inlineStr">
        <is>
          <t>No</t>
        </is>
      </c>
    </row>
    <row r="813">
      <c r="A813" t="inlineStr">
        <is>
          <t>CF0812</t>
        </is>
      </c>
      <c r="B813" t="inlineStr">
        <is>
          <t>No</t>
        </is>
      </c>
      <c r="C813" t="inlineStr">
        <is>
          <t>No</t>
        </is>
      </c>
    </row>
    <row r="814">
      <c r="A814" t="inlineStr">
        <is>
          <t>CF0813</t>
        </is>
      </c>
      <c r="B814" t="inlineStr">
        <is>
          <t>No</t>
        </is>
      </c>
      <c r="C814" t="inlineStr">
        <is>
          <t>Yes</t>
        </is>
      </c>
    </row>
    <row r="815">
      <c r="A815" t="inlineStr">
        <is>
          <t>CF0814</t>
        </is>
      </c>
      <c r="B815" t="inlineStr">
        <is>
          <t>No</t>
        </is>
      </c>
      <c r="C815" t="inlineStr">
        <is>
          <t>No</t>
        </is>
      </c>
    </row>
    <row r="816">
      <c r="A816" t="inlineStr">
        <is>
          <t>CF0815</t>
        </is>
      </c>
      <c r="B816" t="inlineStr">
        <is>
          <t>No</t>
        </is>
      </c>
      <c r="C816" t="inlineStr">
        <is>
          <t>Yes</t>
        </is>
      </c>
    </row>
    <row r="817">
      <c r="A817" t="inlineStr">
        <is>
          <t>CF0816</t>
        </is>
      </c>
      <c r="B817" t="inlineStr">
        <is>
          <t>No</t>
        </is>
      </c>
      <c r="C817" t="inlineStr">
        <is>
          <t>No</t>
        </is>
      </c>
    </row>
    <row r="818">
      <c r="A818" t="inlineStr">
        <is>
          <t>CF0817</t>
        </is>
      </c>
      <c r="B818" t="inlineStr">
        <is>
          <t>Yes</t>
        </is>
      </c>
      <c r="C818" t="inlineStr">
        <is>
          <t>Yes</t>
        </is>
      </c>
    </row>
    <row r="819">
      <c r="A819" t="inlineStr">
        <is>
          <t>CF0818</t>
        </is>
      </c>
      <c r="B819" t="inlineStr">
        <is>
          <t>No</t>
        </is>
      </c>
      <c r="C819" t="inlineStr">
        <is>
          <t>No</t>
        </is>
      </c>
    </row>
    <row r="820">
      <c r="A820" t="inlineStr">
        <is>
          <t>CF0819</t>
        </is>
      </c>
      <c r="B820" t="inlineStr">
        <is>
          <t>Yes</t>
        </is>
      </c>
      <c r="C820" t="inlineStr">
        <is>
          <t>Yes</t>
        </is>
      </c>
    </row>
    <row r="821">
      <c r="A821" t="inlineStr">
        <is>
          <t>CF0820</t>
        </is>
      </c>
      <c r="B821" t="inlineStr">
        <is>
          <t>No</t>
        </is>
      </c>
      <c r="C821" t="inlineStr">
        <is>
          <t>No</t>
        </is>
      </c>
    </row>
    <row r="822">
      <c r="A822" t="inlineStr">
        <is>
          <t>CF0821</t>
        </is>
      </c>
      <c r="B822" t="inlineStr">
        <is>
          <t>No</t>
        </is>
      </c>
      <c r="C822" t="inlineStr">
        <is>
          <t>No</t>
        </is>
      </c>
    </row>
    <row r="823">
      <c r="A823" t="inlineStr">
        <is>
          <t>CF0822</t>
        </is>
      </c>
      <c r="B823" t="inlineStr">
        <is>
          <t>Yes</t>
        </is>
      </c>
      <c r="C823" t="inlineStr">
        <is>
          <t>Yes</t>
        </is>
      </c>
    </row>
    <row r="824">
      <c r="A824" t="inlineStr">
        <is>
          <t>CF0823</t>
        </is>
      </c>
      <c r="B824" t="inlineStr">
        <is>
          <t>No</t>
        </is>
      </c>
      <c r="C824" t="inlineStr">
        <is>
          <t>Yes</t>
        </is>
      </c>
    </row>
    <row r="825">
      <c r="A825" t="inlineStr">
        <is>
          <t>CF0824</t>
        </is>
      </c>
      <c r="B825" t="inlineStr">
        <is>
          <t>No</t>
        </is>
      </c>
      <c r="C825" t="inlineStr">
        <is>
          <t>No</t>
        </is>
      </c>
    </row>
    <row r="826">
      <c r="A826" t="inlineStr">
        <is>
          <t>CF0825</t>
        </is>
      </c>
      <c r="B826" t="inlineStr">
        <is>
          <t>No</t>
        </is>
      </c>
      <c r="C826" t="inlineStr">
        <is>
          <t>No</t>
        </is>
      </c>
    </row>
    <row r="827">
      <c r="A827" t="inlineStr">
        <is>
          <t>CF0826</t>
        </is>
      </c>
      <c r="B827" t="inlineStr">
        <is>
          <t>No</t>
        </is>
      </c>
      <c r="C827" t="inlineStr">
        <is>
          <t>No</t>
        </is>
      </c>
    </row>
    <row r="828">
      <c r="A828" t="inlineStr">
        <is>
          <t>CF0827</t>
        </is>
      </c>
      <c r="B828" t="inlineStr">
        <is>
          <t>No</t>
        </is>
      </c>
      <c r="C828" t="inlineStr">
        <is>
          <t>No</t>
        </is>
      </c>
    </row>
    <row r="829">
      <c r="A829" t="inlineStr">
        <is>
          <t>CF0828</t>
        </is>
      </c>
      <c r="B829" t="inlineStr">
        <is>
          <t>Yes</t>
        </is>
      </c>
      <c r="C829" t="inlineStr">
        <is>
          <t>No</t>
        </is>
      </c>
    </row>
    <row r="830">
      <c r="A830" t="inlineStr">
        <is>
          <t>CF0829</t>
        </is>
      </c>
      <c r="B830" t="inlineStr">
        <is>
          <t>No</t>
        </is>
      </c>
      <c r="C830" t="inlineStr">
        <is>
          <t>No</t>
        </is>
      </c>
    </row>
    <row r="831">
      <c r="A831" t="inlineStr">
        <is>
          <t>CF0830</t>
        </is>
      </c>
      <c r="B831" t="inlineStr">
        <is>
          <t>No</t>
        </is>
      </c>
      <c r="C831" t="inlineStr">
        <is>
          <t>No</t>
        </is>
      </c>
    </row>
    <row r="832">
      <c r="A832" t="inlineStr">
        <is>
          <t>CF0831</t>
        </is>
      </c>
      <c r="B832" t="inlineStr">
        <is>
          <t>No</t>
        </is>
      </c>
      <c r="C832" t="inlineStr">
        <is>
          <t>No</t>
        </is>
      </c>
    </row>
    <row r="833">
      <c r="A833" t="inlineStr">
        <is>
          <t>CF0832</t>
        </is>
      </c>
      <c r="B833" t="inlineStr">
        <is>
          <t>No</t>
        </is>
      </c>
      <c r="C833" t="inlineStr">
        <is>
          <t>No</t>
        </is>
      </c>
    </row>
    <row r="834">
      <c r="A834" t="inlineStr">
        <is>
          <t>CF0833</t>
        </is>
      </c>
      <c r="B834" t="inlineStr">
        <is>
          <t>No</t>
        </is>
      </c>
      <c r="C834" t="inlineStr">
        <is>
          <t>No</t>
        </is>
      </c>
    </row>
    <row r="835">
      <c r="A835" t="inlineStr">
        <is>
          <t>CF0834</t>
        </is>
      </c>
      <c r="B835" t="inlineStr">
        <is>
          <t>No</t>
        </is>
      </c>
      <c r="C835" t="inlineStr">
        <is>
          <t>No</t>
        </is>
      </c>
    </row>
    <row r="836">
      <c r="A836" t="inlineStr">
        <is>
          <t>CF0835</t>
        </is>
      </c>
      <c r="B836" t="inlineStr">
        <is>
          <t>Yes</t>
        </is>
      </c>
      <c r="C836" t="inlineStr">
        <is>
          <t>Yes</t>
        </is>
      </c>
    </row>
    <row r="837">
      <c r="A837" t="inlineStr">
        <is>
          <t>CF0836</t>
        </is>
      </c>
      <c r="B837" t="inlineStr">
        <is>
          <t>No</t>
        </is>
      </c>
      <c r="C837" t="inlineStr">
        <is>
          <t>No</t>
        </is>
      </c>
    </row>
    <row r="838">
      <c r="A838" t="inlineStr">
        <is>
          <t>CF0837</t>
        </is>
      </c>
      <c r="B838" t="inlineStr">
        <is>
          <t>No</t>
        </is>
      </c>
      <c r="C838" t="inlineStr">
        <is>
          <t>Yes</t>
        </is>
      </c>
    </row>
    <row r="839">
      <c r="A839" t="inlineStr">
        <is>
          <t>CF0838</t>
        </is>
      </c>
      <c r="B839" t="inlineStr">
        <is>
          <t>No</t>
        </is>
      </c>
      <c r="C839" t="inlineStr">
        <is>
          <t>No</t>
        </is>
      </c>
    </row>
    <row r="840">
      <c r="A840" t="inlineStr">
        <is>
          <t>CF0839</t>
        </is>
      </c>
      <c r="B840" t="inlineStr">
        <is>
          <t>Yes</t>
        </is>
      </c>
      <c r="C840" t="inlineStr">
        <is>
          <t>Yes</t>
        </is>
      </c>
    </row>
    <row r="841">
      <c r="A841" t="inlineStr">
        <is>
          <t>CF0840</t>
        </is>
      </c>
      <c r="B841" t="inlineStr">
        <is>
          <t>No</t>
        </is>
      </c>
      <c r="C841" t="inlineStr">
        <is>
          <t>No</t>
        </is>
      </c>
    </row>
    <row r="842">
      <c r="A842" t="inlineStr">
        <is>
          <t>CF0841</t>
        </is>
      </c>
      <c r="B842" t="inlineStr">
        <is>
          <t>No</t>
        </is>
      </c>
      <c r="C842" t="inlineStr">
        <is>
          <t>No</t>
        </is>
      </c>
    </row>
    <row r="843">
      <c r="A843" t="inlineStr">
        <is>
          <t>CF0842</t>
        </is>
      </c>
      <c r="B843" t="inlineStr">
        <is>
          <t>No</t>
        </is>
      </c>
      <c r="C843" t="inlineStr">
        <is>
          <t>No</t>
        </is>
      </c>
    </row>
    <row r="844">
      <c r="A844" t="inlineStr">
        <is>
          <t>CF0843</t>
        </is>
      </c>
      <c r="B844" t="inlineStr">
        <is>
          <t>No</t>
        </is>
      </c>
      <c r="C844" t="inlineStr">
        <is>
          <t>No</t>
        </is>
      </c>
    </row>
    <row r="845">
      <c r="A845" t="inlineStr">
        <is>
          <t>CF0844</t>
        </is>
      </c>
      <c r="B845" t="inlineStr">
        <is>
          <t>No</t>
        </is>
      </c>
      <c r="C845" t="inlineStr">
        <is>
          <t>No</t>
        </is>
      </c>
    </row>
    <row r="846">
      <c r="A846" t="inlineStr">
        <is>
          <t>CF0845</t>
        </is>
      </c>
      <c r="B846" t="inlineStr">
        <is>
          <t>No</t>
        </is>
      </c>
      <c r="C846" t="inlineStr">
        <is>
          <t>No</t>
        </is>
      </c>
    </row>
    <row r="847">
      <c r="A847" t="inlineStr">
        <is>
          <t>CF0846</t>
        </is>
      </c>
      <c r="B847" t="inlineStr">
        <is>
          <t>No</t>
        </is>
      </c>
      <c r="C847" t="inlineStr">
        <is>
          <t>No</t>
        </is>
      </c>
    </row>
    <row r="848">
      <c r="A848" t="inlineStr">
        <is>
          <t>CF0847</t>
        </is>
      </c>
      <c r="B848" t="inlineStr">
        <is>
          <t>No</t>
        </is>
      </c>
      <c r="C848" t="inlineStr">
        <is>
          <t>No</t>
        </is>
      </c>
    </row>
    <row r="849">
      <c r="A849" t="inlineStr">
        <is>
          <t>CF0848</t>
        </is>
      </c>
      <c r="B849" t="inlineStr">
        <is>
          <t>Yes</t>
        </is>
      </c>
      <c r="C849" t="inlineStr">
        <is>
          <t>Yes</t>
        </is>
      </c>
    </row>
    <row r="850">
      <c r="A850" t="inlineStr">
        <is>
          <t>CF0849</t>
        </is>
      </c>
      <c r="B850" t="inlineStr">
        <is>
          <t>No</t>
        </is>
      </c>
      <c r="C850" t="inlineStr">
        <is>
          <t>No</t>
        </is>
      </c>
    </row>
    <row r="851">
      <c r="A851" t="inlineStr">
        <is>
          <t>CF0850</t>
        </is>
      </c>
      <c r="B851" t="inlineStr">
        <is>
          <t>Yes</t>
        </is>
      </c>
      <c r="C851" t="inlineStr">
        <is>
          <t>No</t>
        </is>
      </c>
    </row>
    <row r="852">
      <c r="A852" t="inlineStr">
        <is>
          <t>CF0851</t>
        </is>
      </c>
      <c r="B852" t="inlineStr">
        <is>
          <t>Yes</t>
        </is>
      </c>
      <c r="C852" t="inlineStr">
        <is>
          <t>Yes</t>
        </is>
      </c>
    </row>
    <row r="853">
      <c r="A853" t="inlineStr">
        <is>
          <t>CF0852</t>
        </is>
      </c>
      <c r="B853" t="inlineStr">
        <is>
          <t>No</t>
        </is>
      </c>
      <c r="C853" t="inlineStr">
        <is>
          <t>No</t>
        </is>
      </c>
    </row>
    <row r="854">
      <c r="A854" t="inlineStr">
        <is>
          <t>CF0853</t>
        </is>
      </c>
      <c r="B854" t="inlineStr">
        <is>
          <t>No</t>
        </is>
      </c>
      <c r="C854" t="inlineStr">
        <is>
          <t>No</t>
        </is>
      </c>
    </row>
    <row r="855">
      <c r="A855" t="inlineStr">
        <is>
          <t>CF0854</t>
        </is>
      </c>
      <c r="B855" t="inlineStr">
        <is>
          <t>No</t>
        </is>
      </c>
      <c r="C855" t="inlineStr">
        <is>
          <t>No</t>
        </is>
      </c>
    </row>
    <row r="856">
      <c r="A856" t="inlineStr">
        <is>
          <t>CF0855</t>
        </is>
      </c>
      <c r="B856" t="inlineStr">
        <is>
          <t>No</t>
        </is>
      </c>
      <c r="C856" t="inlineStr">
        <is>
          <t>No</t>
        </is>
      </c>
    </row>
    <row r="857">
      <c r="A857" t="inlineStr">
        <is>
          <t>CF0856</t>
        </is>
      </c>
      <c r="B857" t="inlineStr">
        <is>
          <t>No</t>
        </is>
      </c>
      <c r="C857" t="inlineStr">
        <is>
          <t>No</t>
        </is>
      </c>
    </row>
    <row r="858">
      <c r="A858" t="inlineStr">
        <is>
          <t>CF0857</t>
        </is>
      </c>
      <c r="B858" t="inlineStr">
        <is>
          <t>No</t>
        </is>
      </c>
      <c r="C858" t="inlineStr">
        <is>
          <t>No</t>
        </is>
      </c>
    </row>
    <row r="859">
      <c r="A859" t="inlineStr">
        <is>
          <t>CF0858</t>
        </is>
      </c>
      <c r="B859" t="inlineStr">
        <is>
          <t>No</t>
        </is>
      </c>
      <c r="C859" t="inlineStr">
        <is>
          <t>No</t>
        </is>
      </c>
    </row>
    <row r="860">
      <c r="A860" t="inlineStr">
        <is>
          <t>CF0859</t>
        </is>
      </c>
      <c r="B860" t="inlineStr">
        <is>
          <t>No</t>
        </is>
      </c>
      <c r="C860" t="inlineStr">
        <is>
          <t>No</t>
        </is>
      </c>
    </row>
    <row r="861">
      <c r="A861" t="inlineStr">
        <is>
          <t>CF0860</t>
        </is>
      </c>
      <c r="B861" t="inlineStr">
        <is>
          <t>No</t>
        </is>
      </c>
      <c r="C861" t="inlineStr">
        <is>
          <t>Yes</t>
        </is>
      </c>
    </row>
    <row r="862">
      <c r="A862" t="inlineStr">
        <is>
          <t>CF0861</t>
        </is>
      </c>
      <c r="B862" t="inlineStr">
        <is>
          <t>No</t>
        </is>
      </c>
      <c r="C862" t="inlineStr">
        <is>
          <t>No</t>
        </is>
      </c>
    </row>
    <row r="863">
      <c r="A863" t="inlineStr">
        <is>
          <t>CF0862</t>
        </is>
      </c>
      <c r="B863" t="inlineStr">
        <is>
          <t>No</t>
        </is>
      </c>
      <c r="C863" t="inlineStr">
        <is>
          <t>No</t>
        </is>
      </c>
    </row>
    <row r="864">
      <c r="A864" t="inlineStr">
        <is>
          <t>CF0863</t>
        </is>
      </c>
      <c r="B864" t="inlineStr">
        <is>
          <t>No</t>
        </is>
      </c>
      <c r="C864" t="inlineStr">
        <is>
          <t>No</t>
        </is>
      </c>
    </row>
    <row r="865">
      <c r="A865" t="inlineStr">
        <is>
          <t>CF0864</t>
        </is>
      </c>
      <c r="B865" t="inlineStr">
        <is>
          <t>No</t>
        </is>
      </c>
      <c r="C865" t="inlineStr">
        <is>
          <t>Yes</t>
        </is>
      </c>
    </row>
    <row r="866">
      <c r="A866" t="inlineStr">
        <is>
          <t>CF0865</t>
        </is>
      </c>
      <c r="B866" t="inlineStr">
        <is>
          <t>No</t>
        </is>
      </c>
      <c r="C866" t="inlineStr">
        <is>
          <t>Yes</t>
        </is>
      </c>
    </row>
    <row r="867">
      <c r="A867" t="inlineStr">
        <is>
          <t>CF0866</t>
        </is>
      </c>
      <c r="B867" t="inlineStr">
        <is>
          <t>No</t>
        </is>
      </c>
      <c r="C867" t="inlineStr">
        <is>
          <t>No</t>
        </is>
      </c>
    </row>
    <row r="868">
      <c r="A868" t="inlineStr">
        <is>
          <t>CF0867</t>
        </is>
      </c>
      <c r="B868" t="inlineStr">
        <is>
          <t>No</t>
        </is>
      </c>
      <c r="C868" t="inlineStr">
        <is>
          <t>No</t>
        </is>
      </c>
    </row>
    <row r="869">
      <c r="A869" t="inlineStr">
        <is>
          <t>CF0868</t>
        </is>
      </c>
      <c r="B869" t="inlineStr">
        <is>
          <t>No</t>
        </is>
      </c>
      <c r="C869" t="inlineStr">
        <is>
          <t>No</t>
        </is>
      </c>
    </row>
    <row r="870">
      <c r="A870" t="inlineStr">
        <is>
          <t>CF0869</t>
        </is>
      </c>
      <c r="B870" t="inlineStr">
        <is>
          <t>No</t>
        </is>
      </c>
      <c r="C870" t="inlineStr">
        <is>
          <t>No</t>
        </is>
      </c>
    </row>
    <row r="871">
      <c r="A871" t="inlineStr">
        <is>
          <t>CF0870</t>
        </is>
      </c>
      <c r="B871" t="inlineStr">
        <is>
          <t>No</t>
        </is>
      </c>
      <c r="C871" t="inlineStr">
        <is>
          <t>No</t>
        </is>
      </c>
    </row>
    <row r="872">
      <c r="A872" t="inlineStr">
        <is>
          <t>CF0871</t>
        </is>
      </c>
      <c r="B872" t="inlineStr">
        <is>
          <t>Yes</t>
        </is>
      </c>
      <c r="C872" t="inlineStr">
        <is>
          <t>Yes</t>
        </is>
      </c>
    </row>
    <row r="873">
      <c r="A873" t="inlineStr">
        <is>
          <t>CF0872</t>
        </is>
      </c>
      <c r="B873" t="inlineStr">
        <is>
          <t>No</t>
        </is>
      </c>
      <c r="C873" t="inlineStr">
        <is>
          <t>Yes</t>
        </is>
      </c>
    </row>
    <row r="874">
      <c r="A874" t="inlineStr">
        <is>
          <t>CF0873</t>
        </is>
      </c>
      <c r="B874" t="inlineStr">
        <is>
          <t>No</t>
        </is>
      </c>
      <c r="C874" t="inlineStr">
        <is>
          <t>No</t>
        </is>
      </c>
    </row>
    <row r="875">
      <c r="A875" t="inlineStr">
        <is>
          <t>CF0874</t>
        </is>
      </c>
      <c r="B875" t="inlineStr">
        <is>
          <t>Yes</t>
        </is>
      </c>
      <c r="C875" t="inlineStr">
        <is>
          <t>No</t>
        </is>
      </c>
    </row>
    <row r="876">
      <c r="A876" t="inlineStr">
        <is>
          <t>CF0875</t>
        </is>
      </c>
      <c r="B876" t="inlineStr">
        <is>
          <t>No</t>
        </is>
      </c>
      <c r="C876" t="inlineStr">
        <is>
          <t>No</t>
        </is>
      </c>
    </row>
    <row r="877">
      <c r="A877" t="inlineStr">
        <is>
          <t>CF0876</t>
        </is>
      </c>
      <c r="B877" t="inlineStr">
        <is>
          <t>No</t>
        </is>
      </c>
      <c r="C877" t="inlineStr">
        <is>
          <t>Yes</t>
        </is>
      </c>
    </row>
    <row r="878">
      <c r="A878" t="inlineStr">
        <is>
          <t>CF0877</t>
        </is>
      </c>
      <c r="B878" t="inlineStr">
        <is>
          <t>No</t>
        </is>
      </c>
      <c r="C878" t="inlineStr">
        <is>
          <t>Yes</t>
        </is>
      </c>
    </row>
    <row r="879">
      <c r="A879" t="inlineStr">
        <is>
          <t>CF0878</t>
        </is>
      </c>
      <c r="B879" t="inlineStr">
        <is>
          <t>No</t>
        </is>
      </c>
      <c r="C879" t="inlineStr">
        <is>
          <t>Yes</t>
        </is>
      </c>
    </row>
    <row r="880">
      <c r="A880" t="inlineStr">
        <is>
          <t>CF0879</t>
        </is>
      </c>
      <c r="B880" t="inlineStr">
        <is>
          <t>Yes</t>
        </is>
      </c>
      <c r="C880" t="inlineStr">
        <is>
          <t>Yes</t>
        </is>
      </c>
    </row>
    <row r="881">
      <c r="A881" t="inlineStr">
        <is>
          <t>CF0880</t>
        </is>
      </c>
      <c r="B881" t="inlineStr">
        <is>
          <t>No</t>
        </is>
      </c>
      <c r="C881" t="inlineStr">
        <is>
          <t>No</t>
        </is>
      </c>
    </row>
    <row r="882">
      <c r="A882" t="inlineStr">
        <is>
          <t>CF0881</t>
        </is>
      </c>
      <c r="B882" t="inlineStr">
        <is>
          <t>No</t>
        </is>
      </c>
      <c r="C882" t="inlineStr">
        <is>
          <t>No</t>
        </is>
      </c>
    </row>
    <row r="883">
      <c r="A883" t="inlineStr">
        <is>
          <t>CF0882</t>
        </is>
      </c>
      <c r="B883" t="inlineStr">
        <is>
          <t>No</t>
        </is>
      </c>
      <c r="C883" t="inlineStr">
        <is>
          <t>No</t>
        </is>
      </c>
    </row>
    <row r="884">
      <c r="A884" t="inlineStr">
        <is>
          <t>CF0883</t>
        </is>
      </c>
      <c r="B884" t="inlineStr">
        <is>
          <t>No</t>
        </is>
      </c>
      <c r="C884" t="inlineStr">
        <is>
          <t>No</t>
        </is>
      </c>
    </row>
    <row r="885">
      <c r="A885" t="inlineStr">
        <is>
          <t>CF0884</t>
        </is>
      </c>
      <c r="B885" t="inlineStr">
        <is>
          <t>No</t>
        </is>
      </c>
      <c r="C885" t="inlineStr">
        <is>
          <t>No</t>
        </is>
      </c>
    </row>
    <row r="886">
      <c r="A886" t="inlineStr">
        <is>
          <t>CF0885</t>
        </is>
      </c>
      <c r="B886" t="inlineStr">
        <is>
          <t>No</t>
        </is>
      </c>
      <c r="C886" t="inlineStr">
        <is>
          <t>No</t>
        </is>
      </c>
    </row>
    <row r="887">
      <c r="A887" t="inlineStr">
        <is>
          <t>CF0886</t>
        </is>
      </c>
      <c r="B887" t="inlineStr">
        <is>
          <t>No</t>
        </is>
      </c>
      <c r="C887" t="inlineStr">
        <is>
          <t>No</t>
        </is>
      </c>
    </row>
    <row r="888">
      <c r="A888" t="inlineStr">
        <is>
          <t>CF0887</t>
        </is>
      </c>
      <c r="B888" t="inlineStr">
        <is>
          <t>No</t>
        </is>
      </c>
      <c r="C888" t="inlineStr">
        <is>
          <t>No</t>
        </is>
      </c>
    </row>
    <row r="889">
      <c r="A889" t="inlineStr">
        <is>
          <t>CF0888</t>
        </is>
      </c>
      <c r="B889" t="inlineStr">
        <is>
          <t>No</t>
        </is>
      </c>
      <c r="C889" t="inlineStr">
        <is>
          <t>Yes</t>
        </is>
      </c>
    </row>
    <row r="890">
      <c r="A890" t="inlineStr">
        <is>
          <t>CF0889</t>
        </is>
      </c>
      <c r="B890" t="inlineStr">
        <is>
          <t>No</t>
        </is>
      </c>
      <c r="C890" t="inlineStr">
        <is>
          <t>No</t>
        </is>
      </c>
    </row>
    <row r="891">
      <c r="A891" t="inlineStr">
        <is>
          <t>CF0890</t>
        </is>
      </c>
      <c r="B891" t="inlineStr">
        <is>
          <t>No</t>
        </is>
      </c>
      <c r="C891" t="inlineStr">
        <is>
          <t>No</t>
        </is>
      </c>
    </row>
    <row r="892">
      <c r="A892" t="inlineStr">
        <is>
          <t>CF0891</t>
        </is>
      </c>
      <c r="B892" t="inlineStr">
        <is>
          <t>Yes</t>
        </is>
      </c>
      <c r="C892" t="inlineStr">
        <is>
          <t>Yes</t>
        </is>
      </c>
    </row>
    <row r="893">
      <c r="A893" t="inlineStr">
        <is>
          <t>CF0892</t>
        </is>
      </c>
      <c r="B893" t="inlineStr">
        <is>
          <t>Yes</t>
        </is>
      </c>
      <c r="C893" t="inlineStr">
        <is>
          <t>Yes</t>
        </is>
      </c>
    </row>
    <row r="894">
      <c r="A894" t="inlineStr">
        <is>
          <t>CF0893</t>
        </is>
      </c>
      <c r="B894" t="inlineStr">
        <is>
          <t>No</t>
        </is>
      </c>
      <c r="C894" t="inlineStr">
        <is>
          <t>No</t>
        </is>
      </c>
    </row>
    <row r="895">
      <c r="A895" t="inlineStr">
        <is>
          <t>CF0894</t>
        </is>
      </c>
      <c r="B895" t="inlineStr">
        <is>
          <t>No</t>
        </is>
      </c>
      <c r="C895" t="inlineStr">
        <is>
          <t>No</t>
        </is>
      </c>
    </row>
    <row r="896">
      <c r="A896" t="inlineStr">
        <is>
          <t>CF0895</t>
        </is>
      </c>
      <c r="B896" t="inlineStr">
        <is>
          <t>No</t>
        </is>
      </c>
      <c r="C896" t="inlineStr">
        <is>
          <t>No</t>
        </is>
      </c>
    </row>
    <row r="897">
      <c r="A897" t="inlineStr">
        <is>
          <t>CF0896</t>
        </is>
      </c>
      <c r="B897" t="inlineStr">
        <is>
          <t>No</t>
        </is>
      </c>
      <c r="C897" t="inlineStr">
        <is>
          <t>No</t>
        </is>
      </c>
    </row>
    <row r="898">
      <c r="A898" t="inlineStr">
        <is>
          <t>CF0897</t>
        </is>
      </c>
      <c r="B898" t="inlineStr">
        <is>
          <t>No</t>
        </is>
      </c>
      <c r="C898" t="inlineStr">
        <is>
          <t>No</t>
        </is>
      </c>
    </row>
    <row r="899">
      <c r="A899" t="inlineStr">
        <is>
          <t>CF0898</t>
        </is>
      </c>
      <c r="B899" t="inlineStr">
        <is>
          <t>No</t>
        </is>
      </c>
      <c r="C899" t="inlineStr">
        <is>
          <t>No</t>
        </is>
      </c>
    </row>
    <row r="900">
      <c r="A900" t="inlineStr">
        <is>
          <t>CF0899</t>
        </is>
      </c>
      <c r="B900" t="inlineStr">
        <is>
          <t>No</t>
        </is>
      </c>
      <c r="C900" t="inlineStr">
        <is>
          <t>No</t>
        </is>
      </c>
    </row>
    <row r="901">
      <c r="A901" t="inlineStr">
        <is>
          <t>CF0900</t>
        </is>
      </c>
      <c r="B901" t="inlineStr">
        <is>
          <t>No</t>
        </is>
      </c>
      <c r="C901" t="inlineStr">
        <is>
          <t>No</t>
        </is>
      </c>
    </row>
    <row r="902">
      <c r="A902" t="inlineStr">
        <is>
          <t>CF0901</t>
        </is>
      </c>
      <c r="B902" t="inlineStr">
        <is>
          <t>No</t>
        </is>
      </c>
      <c r="C902" t="inlineStr">
        <is>
          <t>No</t>
        </is>
      </c>
    </row>
    <row r="903">
      <c r="A903" t="inlineStr">
        <is>
          <t>CF0902</t>
        </is>
      </c>
      <c r="B903" t="inlineStr">
        <is>
          <t>No</t>
        </is>
      </c>
      <c r="C903" t="inlineStr">
        <is>
          <t>No</t>
        </is>
      </c>
    </row>
    <row r="904">
      <c r="A904" t="inlineStr">
        <is>
          <t>CF0903</t>
        </is>
      </c>
      <c r="B904" t="inlineStr">
        <is>
          <t>No</t>
        </is>
      </c>
      <c r="C904" t="inlineStr">
        <is>
          <t>No</t>
        </is>
      </c>
    </row>
    <row r="905">
      <c r="A905" t="inlineStr">
        <is>
          <t>CF0904</t>
        </is>
      </c>
      <c r="B905" t="inlineStr">
        <is>
          <t>No</t>
        </is>
      </c>
      <c r="C905" t="inlineStr">
        <is>
          <t>No</t>
        </is>
      </c>
    </row>
    <row r="906">
      <c r="A906" t="inlineStr">
        <is>
          <t>CF0905</t>
        </is>
      </c>
      <c r="B906" t="inlineStr">
        <is>
          <t>No</t>
        </is>
      </c>
      <c r="C906" t="inlineStr">
        <is>
          <t>Yes</t>
        </is>
      </c>
    </row>
    <row r="907">
      <c r="A907" t="inlineStr">
        <is>
          <t>CF0906</t>
        </is>
      </c>
      <c r="B907" t="inlineStr">
        <is>
          <t>No</t>
        </is>
      </c>
      <c r="C907" t="inlineStr">
        <is>
          <t>No</t>
        </is>
      </c>
    </row>
    <row r="908">
      <c r="A908" t="inlineStr">
        <is>
          <t>CF0907</t>
        </is>
      </c>
      <c r="B908" t="inlineStr">
        <is>
          <t>No</t>
        </is>
      </c>
      <c r="C908" t="inlineStr">
        <is>
          <t>No</t>
        </is>
      </c>
    </row>
    <row r="909">
      <c r="A909" t="inlineStr">
        <is>
          <t>CF0908</t>
        </is>
      </c>
      <c r="B909" t="inlineStr">
        <is>
          <t>No</t>
        </is>
      </c>
      <c r="C909" t="inlineStr">
        <is>
          <t>No</t>
        </is>
      </c>
    </row>
    <row r="910">
      <c r="A910" t="inlineStr">
        <is>
          <t>CF0909</t>
        </is>
      </c>
      <c r="B910" t="inlineStr">
        <is>
          <t>No</t>
        </is>
      </c>
      <c r="C910" t="inlineStr">
        <is>
          <t>No</t>
        </is>
      </c>
    </row>
    <row r="911">
      <c r="A911" t="inlineStr">
        <is>
          <t>CF0910</t>
        </is>
      </c>
      <c r="B911" t="inlineStr">
        <is>
          <t>No</t>
        </is>
      </c>
      <c r="C911" t="inlineStr">
        <is>
          <t>No</t>
        </is>
      </c>
    </row>
    <row r="912">
      <c r="A912" t="inlineStr">
        <is>
          <t>CF0911</t>
        </is>
      </c>
      <c r="B912" t="inlineStr">
        <is>
          <t>No</t>
        </is>
      </c>
      <c r="C912" t="inlineStr">
        <is>
          <t>No</t>
        </is>
      </c>
    </row>
    <row r="913">
      <c r="A913" t="inlineStr">
        <is>
          <t>CF0912</t>
        </is>
      </c>
      <c r="B913" t="inlineStr">
        <is>
          <t>No</t>
        </is>
      </c>
      <c r="C913" t="inlineStr">
        <is>
          <t>No</t>
        </is>
      </c>
    </row>
    <row r="914">
      <c r="A914" t="inlineStr">
        <is>
          <t>CF0913</t>
        </is>
      </c>
      <c r="B914" t="inlineStr">
        <is>
          <t>No</t>
        </is>
      </c>
      <c r="C914" t="inlineStr">
        <is>
          <t>No</t>
        </is>
      </c>
    </row>
    <row r="915">
      <c r="A915" t="inlineStr">
        <is>
          <t>CF0914</t>
        </is>
      </c>
      <c r="B915" t="inlineStr">
        <is>
          <t>No</t>
        </is>
      </c>
      <c r="C915" t="inlineStr">
        <is>
          <t>No</t>
        </is>
      </c>
    </row>
    <row r="916">
      <c r="A916" t="inlineStr">
        <is>
          <t>CF0915</t>
        </is>
      </c>
      <c r="B916" t="inlineStr">
        <is>
          <t>Yes</t>
        </is>
      </c>
      <c r="C916" t="inlineStr">
        <is>
          <t>Yes</t>
        </is>
      </c>
    </row>
    <row r="917">
      <c r="A917" t="inlineStr">
        <is>
          <t>CF0916</t>
        </is>
      </c>
      <c r="B917" t="inlineStr">
        <is>
          <t>No</t>
        </is>
      </c>
      <c r="C917" t="inlineStr">
        <is>
          <t>Yes</t>
        </is>
      </c>
    </row>
    <row r="918">
      <c r="A918" t="inlineStr">
        <is>
          <t>CF0917</t>
        </is>
      </c>
      <c r="B918" t="inlineStr">
        <is>
          <t>No</t>
        </is>
      </c>
      <c r="C918" t="inlineStr">
        <is>
          <t>No</t>
        </is>
      </c>
    </row>
    <row r="919">
      <c r="A919" t="inlineStr">
        <is>
          <t>CF0918</t>
        </is>
      </c>
      <c r="B919" t="inlineStr">
        <is>
          <t>No</t>
        </is>
      </c>
      <c r="C919" t="inlineStr">
        <is>
          <t>No</t>
        </is>
      </c>
    </row>
    <row r="920">
      <c r="A920" t="inlineStr">
        <is>
          <t>CF0919</t>
        </is>
      </c>
      <c r="B920" t="inlineStr">
        <is>
          <t>No</t>
        </is>
      </c>
      <c r="C920" t="inlineStr">
        <is>
          <t>No</t>
        </is>
      </c>
    </row>
    <row r="921">
      <c r="A921" t="inlineStr">
        <is>
          <t>CF0920</t>
        </is>
      </c>
      <c r="B921" t="inlineStr">
        <is>
          <t>Yes</t>
        </is>
      </c>
      <c r="C921" t="inlineStr">
        <is>
          <t>Yes</t>
        </is>
      </c>
    </row>
    <row r="922">
      <c r="A922" t="inlineStr">
        <is>
          <t>CF0921</t>
        </is>
      </c>
      <c r="B922" t="inlineStr">
        <is>
          <t>No</t>
        </is>
      </c>
      <c r="C922" t="inlineStr">
        <is>
          <t>Yes</t>
        </is>
      </c>
    </row>
    <row r="923">
      <c r="A923" t="inlineStr">
        <is>
          <t>CF0922</t>
        </is>
      </c>
      <c r="B923" t="inlineStr">
        <is>
          <t>No</t>
        </is>
      </c>
      <c r="C923" t="inlineStr">
        <is>
          <t>Yes</t>
        </is>
      </c>
    </row>
    <row r="924">
      <c r="A924" t="inlineStr">
        <is>
          <t>CF0923</t>
        </is>
      </c>
      <c r="B924" t="inlineStr">
        <is>
          <t>No</t>
        </is>
      </c>
      <c r="C924" t="inlineStr">
        <is>
          <t>Yes</t>
        </is>
      </c>
    </row>
    <row r="925">
      <c r="A925" t="inlineStr">
        <is>
          <t>CF0924</t>
        </is>
      </c>
      <c r="B925" t="inlineStr">
        <is>
          <t>Yes</t>
        </is>
      </c>
      <c r="C925" t="inlineStr">
        <is>
          <t>Yes</t>
        </is>
      </c>
    </row>
    <row r="926">
      <c r="A926" t="inlineStr">
        <is>
          <t>CF0925</t>
        </is>
      </c>
      <c r="B926" t="inlineStr">
        <is>
          <t>No</t>
        </is>
      </c>
      <c r="C926" t="inlineStr">
        <is>
          <t>No</t>
        </is>
      </c>
    </row>
    <row r="927">
      <c r="A927" t="inlineStr">
        <is>
          <t>CF0926</t>
        </is>
      </c>
      <c r="B927" t="inlineStr">
        <is>
          <t>No</t>
        </is>
      </c>
      <c r="C927" t="inlineStr">
        <is>
          <t>No</t>
        </is>
      </c>
    </row>
    <row r="928">
      <c r="A928" t="inlineStr">
        <is>
          <t>CF0927</t>
        </is>
      </c>
      <c r="B928" t="inlineStr">
        <is>
          <t>No</t>
        </is>
      </c>
      <c r="C928" t="inlineStr">
        <is>
          <t>No</t>
        </is>
      </c>
    </row>
    <row r="929">
      <c r="A929" t="inlineStr">
        <is>
          <t>CF0928</t>
        </is>
      </c>
      <c r="B929" t="inlineStr">
        <is>
          <t>Yes</t>
        </is>
      </c>
      <c r="C929" t="inlineStr">
        <is>
          <t>Yes</t>
        </is>
      </c>
    </row>
    <row r="930">
      <c r="A930" t="inlineStr">
        <is>
          <t>CF0929</t>
        </is>
      </c>
      <c r="B930" t="inlineStr">
        <is>
          <t>No</t>
        </is>
      </c>
      <c r="C930" t="inlineStr">
        <is>
          <t>No</t>
        </is>
      </c>
    </row>
    <row r="931">
      <c r="A931" t="inlineStr">
        <is>
          <t>CF0930</t>
        </is>
      </c>
      <c r="B931" t="inlineStr">
        <is>
          <t>No</t>
        </is>
      </c>
      <c r="C931" t="inlineStr">
        <is>
          <t>No</t>
        </is>
      </c>
    </row>
    <row r="932">
      <c r="A932" t="inlineStr">
        <is>
          <t>CF0931</t>
        </is>
      </c>
      <c r="B932" t="inlineStr">
        <is>
          <t>No</t>
        </is>
      </c>
      <c r="C932" t="inlineStr">
        <is>
          <t>No</t>
        </is>
      </c>
    </row>
    <row r="933">
      <c r="A933" t="inlineStr">
        <is>
          <t>CF0932</t>
        </is>
      </c>
      <c r="B933" t="inlineStr">
        <is>
          <t>No</t>
        </is>
      </c>
      <c r="C933" t="inlineStr">
        <is>
          <t>Yes</t>
        </is>
      </c>
    </row>
    <row r="934">
      <c r="A934" t="inlineStr">
        <is>
          <t>CF0933</t>
        </is>
      </c>
      <c r="B934" t="inlineStr">
        <is>
          <t>Yes</t>
        </is>
      </c>
      <c r="C934" t="inlineStr">
        <is>
          <t>Yes</t>
        </is>
      </c>
    </row>
    <row r="935">
      <c r="A935" t="inlineStr">
        <is>
          <t>CF0934</t>
        </is>
      </c>
      <c r="B935" t="inlineStr">
        <is>
          <t>No</t>
        </is>
      </c>
      <c r="C935" t="inlineStr">
        <is>
          <t>Yes</t>
        </is>
      </c>
    </row>
    <row r="936">
      <c r="A936" t="inlineStr">
        <is>
          <t>CF0935</t>
        </is>
      </c>
      <c r="B936" t="inlineStr">
        <is>
          <t>No</t>
        </is>
      </c>
      <c r="C936" t="inlineStr">
        <is>
          <t>Yes</t>
        </is>
      </c>
    </row>
    <row r="937">
      <c r="A937" t="inlineStr">
        <is>
          <t>CF0936</t>
        </is>
      </c>
      <c r="B937" t="inlineStr">
        <is>
          <t>No</t>
        </is>
      </c>
      <c r="C937" t="inlineStr">
        <is>
          <t>No</t>
        </is>
      </c>
    </row>
    <row r="938">
      <c r="A938" t="inlineStr">
        <is>
          <t>CF0937</t>
        </is>
      </c>
      <c r="B938" t="inlineStr">
        <is>
          <t>No</t>
        </is>
      </c>
      <c r="C938" t="inlineStr">
        <is>
          <t>Yes</t>
        </is>
      </c>
    </row>
    <row r="939">
      <c r="A939" t="inlineStr">
        <is>
          <t>CF0938</t>
        </is>
      </c>
      <c r="B939" t="inlineStr">
        <is>
          <t>No</t>
        </is>
      </c>
      <c r="C939" t="inlineStr">
        <is>
          <t>No</t>
        </is>
      </c>
    </row>
    <row r="940">
      <c r="A940" t="inlineStr">
        <is>
          <t>CF0939</t>
        </is>
      </c>
      <c r="B940" t="inlineStr">
        <is>
          <t>No</t>
        </is>
      </c>
      <c r="C940" t="inlineStr">
        <is>
          <t>No</t>
        </is>
      </c>
    </row>
    <row r="941">
      <c r="A941" t="inlineStr">
        <is>
          <t>CF0940</t>
        </is>
      </c>
      <c r="B941" t="inlineStr">
        <is>
          <t>No</t>
        </is>
      </c>
      <c r="C941" t="inlineStr">
        <is>
          <t>Yes</t>
        </is>
      </c>
    </row>
    <row r="942">
      <c r="A942" t="inlineStr">
        <is>
          <t>CF0941</t>
        </is>
      </c>
      <c r="B942" t="inlineStr">
        <is>
          <t>No</t>
        </is>
      </c>
      <c r="C942" t="inlineStr">
        <is>
          <t>No</t>
        </is>
      </c>
    </row>
    <row r="943">
      <c r="A943" t="inlineStr">
        <is>
          <t>CF0942</t>
        </is>
      </c>
      <c r="B943" t="inlineStr">
        <is>
          <t>No</t>
        </is>
      </c>
      <c r="C943" t="inlineStr">
        <is>
          <t>No</t>
        </is>
      </c>
    </row>
    <row r="944">
      <c r="A944" t="inlineStr">
        <is>
          <t>CF0943</t>
        </is>
      </c>
      <c r="B944" t="inlineStr">
        <is>
          <t>No</t>
        </is>
      </c>
      <c r="C944" t="inlineStr">
        <is>
          <t>No</t>
        </is>
      </c>
    </row>
    <row r="945">
      <c r="A945" t="inlineStr">
        <is>
          <t>CF0944</t>
        </is>
      </c>
      <c r="B945" t="inlineStr">
        <is>
          <t>No</t>
        </is>
      </c>
      <c r="C945" t="inlineStr">
        <is>
          <t>No</t>
        </is>
      </c>
    </row>
    <row r="946">
      <c r="A946" t="inlineStr">
        <is>
          <t>CF0945</t>
        </is>
      </c>
      <c r="B946" t="inlineStr">
        <is>
          <t>No</t>
        </is>
      </c>
      <c r="C946" t="inlineStr">
        <is>
          <t>No</t>
        </is>
      </c>
    </row>
    <row r="947">
      <c r="A947" t="inlineStr">
        <is>
          <t>CF0946</t>
        </is>
      </c>
      <c r="B947" t="inlineStr">
        <is>
          <t>Yes</t>
        </is>
      </c>
      <c r="C947" t="inlineStr">
        <is>
          <t>No</t>
        </is>
      </c>
    </row>
    <row r="948">
      <c r="A948" t="inlineStr">
        <is>
          <t>CF0947</t>
        </is>
      </c>
      <c r="B948" t="inlineStr">
        <is>
          <t>No</t>
        </is>
      </c>
      <c r="C948" t="inlineStr">
        <is>
          <t>No</t>
        </is>
      </c>
    </row>
    <row r="949">
      <c r="A949" t="inlineStr">
        <is>
          <t>CF0948</t>
        </is>
      </c>
      <c r="B949" t="inlineStr">
        <is>
          <t>No</t>
        </is>
      </c>
      <c r="C949" t="inlineStr">
        <is>
          <t>Yes</t>
        </is>
      </c>
    </row>
    <row r="950">
      <c r="A950" t="inlineStr">
        <is>
          <t>CF0949</t>
        </is>
      </c>
      <c r="B950" t="inlineStr">
        <is>
          <t>Yes</t>
        </is>
      </c>
      <c r="C950" t="inlineStr">
        <is>
          <t>Yes</t>
        </is>
      </c>
    </row>
    <row r="951">
      <c r="A951" t="inlineStr">
        <is>
          <t>CF0950</t>
        </is>
      </c>
      <c r="B951" t="inlineStr">
        <is>
          <t>No</t>
        </is>
      </c>
      <c r="C951" t="inlineStr">
        <is>
          <t>Yes</t>
        </is>
      </c>
    </row>
    <row r="952">
      <c r="A952" t="inlineStr">
        <is>
          <t>CF0951</t>
        </is>
      </c>
      <c r="B952" t="inlineStr">
        <is>
          <t>No</t>
        </is>
      </c>
      <c r="C952" t="inlineStr">
        <is>
          <t>No</t>
        </is>
      </c>
    </row>
    <row r="953">
      <c r="A953" t="inlineStr">
        <is>
          <t>CF0952</t>
        </is>
      </c>
      <c r="B953" t="inlineStr">
        <is>
          <t>No</t>
        </is>
      </c>
      <c r="C953" t="inlineStr">
        <is>
          <t>No</t>
        </is>
      </c>
    </row>
    <row r="954">
      <c r="A954" t="inlineStr">
        <is>
          <t>CF0953</t>
        </is>
      </c>
      <c r="B954" t="inlineStr">
        <is>
          <t>No</t>
        </is>
      </c>
      <c r="C954" t="inlineStr">
        <is>
          <t>No</t>
        </is>
      </c>
    </row>
    <row r="955">
      <c r="A955" t="inlineStr">
        <is>
          <t>CF0954</t>
        </is>
      </c>
      <c r="B955" t="inlineStr">
        <is>
          <t>No</t>
        </is>
      </c>
      <c r="C955" t="inlineStr">
        <is>
          <t>No</t>
        </is>
      </c>
    </row>
    <row r="956">
      <c r="A956" t="inlineStr">
        <is>
          <t>CF0955</t>
        </is>
      </c>
      <c r="B956" t="inlineStr">
        <is>
          <t>No</t>
        </is>
      </c>
      <c r="C956" t="inlineStr">
        <is>
          <t>Yes</t>
        </is>
      </c>
    </row>
    <row r="957">
      <c r="A957" t="inlineStr">
        <is>
          <t>CF0956</t>
        </is>
      </c>
      <c r="B957" t="inlineStr">
        <is>
          <t>Yes</t>
        </is>
      </c>
      <c r="C957" t="inlineStr">
        <is>
          <t>Yes</t>
        </is>
      </c>
    </row>
    <row r="958">
      <c r="A958" t="inlineStr">
        <is>
          <t>CF0957</t>
        </is>
      </c>
      <c r="B958" t="inlineStr">
        <is>
          <t>No</t>
        </is>
      </c>
      <c r="C958" t="inlineStr">
        <is>
          <t>No</t>
        </is>
      </c>
    </row>
    <row r="959">
      <c r="A959" t="inlineStr">
        <is>
          <t>CF0958</t>
        </is>
      </c>
      <c r="B959" t="inlineStr">
        <is>
          <t>No</t>
        </is>
      </c>
      <c r="C959" t="inlineStr">
        <is>
          <t>Yes</t>
        </is>
      </c>
    </row>
    <row r="960">
      <c r="A960" t="inlineStr">
        <is>
          <t>CF0959</t>
        </is>
      </c>
      <c r="B960" t="inlineStr">
        <is>
          <t>No</t>
        </is>
      </c>
      <c r="C960" t="inlineStr">
        <is>
          <t>No</t>
        </is>
      </c>
    </row>
    <row r="961">
      <c r="A961" t="inlineStr">
        <is>
          <t>CF0960</t>
        </is>
      </c>
      <c r="B961" t="inlineStr">
        <is>
          <t>No</t>
        </is>
      </c>
      <c r="C961" t="inlineStr">
        <is>
          <t>Yes</t>
        </is>
      </c>
    </row>
    <row r="962">
      <c r="A962" t="inlineStr">
        <is>
          <t>CF0961</t>
        </is>
      </c>
      <c r="B962" t="inlineStr">
        <is>
          <t>No</t>
        </is>
      </c>
      <c r="C962" t="inlineStr">
        <is>
          <t>No</t>
        </is>
      </c>
    </row>
    <row r="963">
      <c r="A963" t="inlineStr">
        <is>
          <t>CF0962</t>
        </is>
      </c>
      <c r="B963" t="inlineStr">
        <is>
          <t>No</t>
        </is>
      </c>
      <c r="C963" t="inlineStr">
        <is>
          <t>No</t>
        </is>
      </c>
    </row>
    <row r="964">
      <c r="A964" t="inlineStr">
        <is>
          <t>CF0963</t>
        </is>
      </c>
      <c r="B964" t="inlineStr">
        <is>
          <t>No</t>
        </is>
      </c>
      <c r="C964" t="inlineStr">
        <is>
          <t>No</t>
        </is>
      </c>
    </row>
    <row r="965">
      <c r="A965" t="inlineStr">
        <is>
          <t>CF0964</t>
        </is>
      </c>
      <c r="B965" t="inlineStr">
        <is>
          <t>No</t>
        </is>
      </c>
      <c r="C965" t="inlineStr">
        <is>
          <t>No</t>
        </is>
      </c>
    </row>
    <row r="966">
      <c r="A966" t="inlineStr">
        <is>
          <t>CF0965</t>
        </is>
      </c>
      <c r="B966" t="inlineStr">
        <is>
          <t>No</t>
        </is>
      </c>
      <c r="C966" t="inlineStr">
        <is>
          <t>No</t>
        </is>
      </c>
    </row>
    <row r="967">
      <c r="A967" t="inlineStr">
        <is>
          <t>CF0966</t>
        </is>
      </c>
      <c r="B967" t="inlineStr">
        <is>
          <t>No</t>
        </is>
      </c>
      <c r="C967" t="inlineStr">
        <is>
          <t>No</t>
        </is>
      </c>
    </row>
    <row r="968">
      <c r="A968" t="inlineStr">
        <is>
          <t>CF0967</t>
        </is>
      </c>
      <c r="B968" t="inlineStr">
        <is>
          <t>No</t>
        </is>
      </c>
      <c r="C968" t="inlineStr">
        <is>
          <t>No</t>
        </is>
      </c>
    </row>
    <row r="969">
      <c r="A969" t="inlineStr">
        <is>
          <t>CF0968</t>
        </is>
      </c>
      <c r="B969" t="inlineStr">
        <is>
          <t>No</t>
        </is>
      </c>
      <c r="C969" t="inlineStr">
        <is>
          <t>No</t>
        </is>
      </c>
    </row>
    <row r="970">
      <c r="A970" t="inlineStr">
        <is>
          <t>CF0969</t>
        </is>
      </c>
      <c r="B970" t="inlineStr">
        <is>
          <t>No</t>
        </is>
      </c>
      <c r="C970" t="inlineStr">
        <is>
          <t>No</t>
        </is>
      </c>
    </row>
    <row r="971">
      <c r="A971" t="inlineStr">
        <is>
          <t>CF0970</t>
        </is>
      </c>
      <c r="B971" t="inlineStr">
        <is>
          <t>No</t>
        </is>
      </c>
      <c r="C971" t="inlineStr">
        <is>
          <t>No</t>
        </is>
      </c>
    </row>
    <row r="972">
      <c r="A972" t="inlineStr">
        <is>
          <t>CF0971</t>
        </is>
      </c>
      <c r="B972" t="inlineStr">
        <is>
          <t>No</t>
        </is>
      </c>
      <c r="C972" t="inlineStr">
        <is>
          <t>No</t>
        </is>
      </c>
    </row>
    <row r="973">
      <c r="A973" t="inlineStr">
        <is>
          <t>CF0972</t>
        </is>
      </c>
      <c r="B973" t="inlineStr">
        <is>
          <t>No</t>
        </is>
      </c>
      <c r="C973" t="inlineStr">
        <is>
          <t>Yes</t>
        </is>
      </c>
    </row>
    <row r="974">
      <c r="A974" t="inlineStr">
        <is>
          <t>CF0973</t>
        </is>
      </c>
      <c r="B974" t="inlineStr">
        <is>
          <t>No</t>
        </is>
      </c>
      <c r="C974" t="inlineStr">
        <is>
          <t>No</t>
        </is>
      </c>
    </row>
    <row r="975">
      <c r="A975" t="inlineStr">
        <is>
          <t>CF0974</t>
        </is>
      </c>
      <c r="B975" t="inlineStr">
        <is>
          <t>No</t>
        </is>
      </c>
      <c r="C975" t="inlineStr">
        <is>
          <t>No</t>
        </is>
      </c>
    </row>
    <row r="976">
      <c r="A976" t="inlineStr">
        <is>
          <t>CF0975</t>
        </is>
      </c>
      <c r="B976" t="inlineStr">
        <is>
          <t>No</t>
        </is>
      </c>
      <c r="C976" t="inlineStr">
        <is>
          <t>No</t>
        </is>
      </c>
    </row>
    <row r="977">
      <c r="A977" t="inlineStr">
        <is>
          <t>CF0976</t>
        </is>
      </c>
      <c r="B977" t="inlineStr">
        <is>
          <t>Yes</t>
        </is>
      </c>
      <c r="C977" t="inlineStr">
        <is>
          <t>Yes</t>
        </is>
      </c>
    </row>
    <row r="978">
      <c r="A978" t="inlineStr">
        <is>
          <t>CF0977</t>
        </is>
      </c>
      <c r="B978" t="inlineStr">
        <is>
          <t>No</t>
        </is>
      </c>
      <c r="C978" t="inlineStr">
        <is>
          <t>No</t>
        </is>
      </c>
    </row>
    <row r="979">
      <c r="A979" t="inlineStr">
        <is>
          <t>CF0978</t>
        </is>
      </c>
      <c r="B979" t="inlineStr">
        <is>
          <t>No</t>
        </is>
      </c>
      <c r="C979" t="inlineStr">
        <is>
          <t>No</t>
        </is>
      </c>
    </row>
    <row r="980">
      <c r="A980" t="inlineStr">
        <is>
          <t>CF0979</t>
        </is>
      </c>
      <c r="B980" t="inlineStr">
        <is>
          <t>No</t>
        </is>
      </c>
      <c r="C980" t="inlineStr">
        <is>
          <t>No</t>
        </is>
      </c>
    </row>
    <row r="981">
      <c r="A981" t="inlineStr">
        <is>
          <t>CF0980</t>
        </is>
      </c>
      <c r="B981" t="inlineStr">
        <is>
          <t>No</t>
        </is>
      </c>
      <c r="C981" t="inlineStr">
        <is>
          <t>No</t>
        </is>
      </c>
    </row>
    <row r="982">
      <c r="A982" t="inlineStr">
        <is>
          <t>CF0981</t>
        </is>
      </c>
      <c r="B982" t="inlineStr">
        <is>
          <t>No</t>
        </is>
      </c>
      <c r="C982" t="inlineStr">
        <is>
          <t>No</t>
        </is>
      </c>
    </row>
    <row r="983">
      <c r="A983" t="inlineStr">
        <is>
          <t>CF0982</t>
        </is>
      </c>
      <c r="B983" t="inlineStr">
        <is>
          <t>No</t>
        </is>
      </c>
      <c r="C983" t="inlineStr">
        <is>
          <t>No</t>
        </is>
      </c>
    </row>
    <row r="984">
      <c r="A984" t="inlineStr">
        <is>
          <t>CF0983</t>
        </is>
      </c>
      <c r="B984" t="inlineStr">
        <is>
          <t>No</t>
        </is>
      </c>
      <c r="C984" t="inlineStr">
        <is>
          <t>No</t>
        </is>
      </c>
    </row>
    <row r="985">
      <c r="A985" t="inlineStr">
        <is>
          <t>CF0984</t>
        </is>
      </c>
      <c r="B985" t="inlineStr">
        <is>
          <t>No</t>
        </is>
      </c>
      <c r="C985" t="inlineStr">
        <is>
          <t>No</t>
        </is>
      </c>
    </row>
    <row r="986">
      <c r="A986" t="inlineStr">
        <is>
          <t>CF0985</t>
        </is>
      </c>
      <c r="B986" t="inlineStr">
        <is>
          <t>No</t>
        </is>
      </c>
      <c r="C986" t="inlineStr">
        <is>
          <t>No</t>
        </is>
      </c>
    </row>
    <row r="987">
      <c r="A987" t="inlineStr">
        <is>
          <t>CF0986</t>
        </is>
      </c>
      <c r="B987" t="inlineStr">
        <is>
          <t>No</t>
        </is>
      </c>
      <c r="C987" t="inlineStr">
        <is>
          <t>No</t>
        </is>
      </c>
    </row>
    <row r="988">
      <c r="A988" t="inlineStr">
        <is>
          <t>CF0987</t>
        </is>
      </c>
      <c r="B988" t="inlineStr">
        <is>
          <t>Yes</t>
        </is>
      </c>
      <c r="C988" t="inlineStr">
        <is>
          <t>No</t>
        </is>
      </c>
    </row>
    <row r="989">
      <c r="A989" t="inlineStr">
        <is>
          <t>CF0988</t>
        </is>
      </c>
      <c r="B989" t="inlineStr">
        <is>
          <t>No</t>
        </is>
      </c>
      <c r="C989" t="inlineStr">
        <is>
          <t>No</t>
        </is>
      </c>
    </row>
    <row r="990">
      <c r="A990" t="inlineStr">
        <is>
          <t>CF0989</t>
        </is>
      </c>
      <c r="B990" t="inlineStr">
        <is>
          <t>No</t>
        </is>
      </c>
      <c r="C990" t="inlineStr">
        <is>
          <t>No</t>
        </is>
      </c>
    </row>
    <row r="991">
      <c r="A991" t="inlineStr">
        <is>
          <t>CF0990</t>
        </is>
      </c>
      <c r="B991" t="inlineStr">
        <is>
          <t>No</t>
        </is>
      </c>
      <c r="C991" t="inlineStr">
        <is>
          <t>No</t>
        </is>
      </c>
    </row>
    <row r="992">
      <c r="A992" t="inlineStr">
        <is>
          <t>CF0991</t>
        </is>
      </c>
      <c r="B992" t="inlineStr">
        <is>
          <t>No</t>
        </is>
      </c>
      <c r="C992" t="inlineStr">
        <is>
          <t>No</t>
        </is>
      </c>
    </row>
    <row r="993">
      <c r="A993" t="inlineStr">
        <is>
          <t>CF0992</t>
        </is>
      </c>
      <c r="B993" t="inlineStr">
        <is>
          <t>No</t>
        </is>
      </c>
      <c r="C993" t="inlineStr">
        <is>
          <t>No</t>
        </is>
      </c>
    </row>
    <row r="994">
      <c r="A994" t="inlineStr">
        <is>
          <t>CF0993</t>
        </is>
      </c>
      <c r="B994" t="inlineStr">
        <is>
          <t>No</t>
        </is>
      </c>
      <c r="C994" t="inlineStr">
        <is>
          <t>No</t>
        </is>
      </c>
    </row>
    <row r="995">
      <c r="A995" t="inlineStr">
        <is>
          <t>CF0994</t>
        </is>
      </c>
      <c r="B995" t="inlineStr">
        <is>
          <t>No</t>
        </is>
      </c>
      <c r="C995" t="inlineStr">
        <is>
          <t>No</t>
        </is>
      </c>
    </row>
    <row r="996">
      <c r="A996" t="inlineStr">
        <is>
          <t>CF0995</t>
        </is>
      </c>
      <c r="B996" t="inlineStr">
        <is>
          <t>No</t>
        </is>
      </c>
      <c r="C996" t="inlineStr">
        <is>
          <t>No</t>
        </is>
      </c>
    </row>
    <row r="997">
      <c r="A997" t="inlineStr">
        <is>
          <t>CF0996</t>
        </is>
      </c>
      <c r="B997" t="inlineStr">
        <is>
          <t>No</t>
        </is>
      </c>
      <c r="C997" t="inlineStr">
        <is>
          <t>No</t>
        </is>
      </c>
    </row>
    <row r="998">
      <c r="A998" t="inlineStr">
        <is>
          <t>CF0997</t>
        </is>
      </c>
      <c r="B998" t="inlineStr">
        <is>
          <t>No</t>
        </is>
      </c>
      <c r="C998" t="inlineStr">
        <is>
          <t>No</t>
        </is>
      </c>
    </row>
    <row r="999">
      <c r="A999" t="inlineStr">
        <is>
          <t>CF0998</t>
        </is>
      </c>
      <c r="B999" t="inlineStr">
        <is>
          <t>No</t>
        </is>
      </c>
      <c r="C999" t="inlineStr">
        <is>
          <t>No</t>
        </is>
      </c>
    </row>
    <row r="1000">
      <c r="A1000" t="inlineStr">
        <is>
          <t>CF0999</t>
        </is>
      </c>
      <c r="B1000" t="inlineStr">
        <is>
          <t>No</t>
        </is>
      </c>
      <c r="C1000" t="inlineStr">
        <is>
          <t>No</t>
        </is>
      </c>
    </row>
    <row r="1001">
      <c r="A1001" t="inlineStr">
        <is>
          <t>CF1000</t>
        </is>
      </c>
      <c r="B1001" t="inlineStr">
        <is>
          <t>No</t>
        </is>
      </c>
      <c r="C1001" t="inlineStr">
        <is>
          <t>Yes</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D100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68" customWidth="1" min="4" max="4"/>
  </cols>
  <sheetData>
    <row r="1" ht="32" customHeight="1">
      <c r="A1" t="inlineStr">
        <is>
          <t>trial</t>
        </is>
      </c>
      <c r="B1" t="inlineStr">
        <is>
          <t>u_001</t>
        </is>
      </c>
      <c r="D1" s="37" t="inlineStr">
        <is>
          <t>Shared data: reference_trials.csv</t>
        </is>
      </c>
    </row>
    <row r="2" ht="32" customHeight="1">
      <c r="A2" t="n">
        <v>1</v>
      </c>
      <c r="B2" t="n">
        <v>0.08306949253531</v>
      </c>
      <c r="D2" s="37" t="inlineStr">
        <is>
          <t>Excel: use the table on this sheet. SPSS: use the supplied .sps import.</t>
        </is>
      </c>
    </row>
    <row r="3" ht="32" customHeight="1">
      <c r="A3" t="n">
        <v>2</v>
      </c>
      <c r="B3" t="n">
        <v>0.52150204428809</v>
      </c>
      <c r="D3" s="37" t="inlineStr">
        <is>
          <t>Python/R: read the matching CSV with the types and missing rules below.</t>
        </is>
      </c>
    </row>
    <row r="4" ht="32" customHeight="1">
      <c r="A4" t="n">
        <v>3</v>
      </c>
      <c r="B4" t="n">
        <v>0.99276412153861</v>
      </c>
      <c r="D4" s="37" t="inlineStr">
        <is>
          <t>trial | integer | Reference trial number | units: index | missing: blank []</t>
        </is>
      </c>
    </row>
    <row r="5" ht="32" customHeight="1">
      <c r="A5" t="n">
        <v>4</v>
      </c>
      <c r="B5" t="n">
        <v>0.14258172681266</v>
      </c>
      <c r="D5" s="37" t="inlineStr">
        <is>
          <t>u_001 | number | Shared uniform input u_001 | units: probability | missing: blank []</t>
        </is>
      </c>
    </row>
    <row r="6">
      <c r="A6" t="n">
        <v>5</v>
      </c>
      <c r="B6" t="n">
        <v>0.8482198944777199</v>
      </c>
    </row>
    <row r="7">
      <c r="A7" t="n">
        <v>6</v>
      </c>
      <c r="B7" t="n">
        <v>0.96742898065213</v>
      </c>
    </row>
    <row r="8">
      <c r="A8" t="n">
        <v>7</v>
      </c>
      <c r="B8" t="n">
        <v>0.97180152790394</v>
      </c>
    </row>
    <row r="9">
      <c r="A9" t="n">
        <v>8</v>
      </c>
      <c r="B9" t="n">
        <v>0.90269993349656</v>
      </c>
    </row>
    <row r="10">
      <c r="A10" t="n">
        <v>9</v>
      </c>
      <c r="B10" t="n">
        <v>0.39698462890728</v>
      </c>
    </row>
    <row r="11">
      <c r="A11" t="n">
        <v>10</v>
      </c>
      <c r="B11" t="n">
        <v>0.43346639749655</v>
      </c>
    </row>
    <row r="12">
      <c r="A12" t="n">
        <v>11</v>
      </c>
      <c r="B12" t="n">
        <v>0.93606458351688</v>
      </c>
    </row>
    <row r="13">
      <c r="A13" t="n">
        <v>12</v>
      </c>
      <c r="B13" t="n">
        <v>0.22734160016034</v>
      </c>
    </row>
    <row r="14">
      <c r="A14" t="n">
        <v>13</v>
      </c>
      <c r="B14" t="n">
        <v>0.23315671436763</v>
      </c>
    </row>
    <row r="15">
      <c r="A15" t="n">
        <v>14</v>
      </c>
      <c r="B15" t="n">
        <v>0.53071204015296</v>
      </c>
    </row>
    <row r="16">
      <c r="A16" t="n">
        <v>15</v>
      </c>
      <c r="B16" t="n">
        <v>0.99069771103029</v>
      </c>
    </row>
    <row r="17">
      <c r="A17" t="n">
        <v>16</v>
      </c>
      <c r="B17" t="n">
        <v>0.05038670933925</v>
      </c>
    </row>
    <row r="18">
      <c r="A18" t="n">
        <v>17</v>
      </c>
      <c r="B18" t="n">
        <v>0.71901504328416</v>
      </c>
    </row>
    <row r="19">
      <c r="A19" t="n">
        <v>18</v>
      </c>
      <c r="B19" t="n">
        <v>0.6440757993581</v>
      </c>
    </row>
    <row r="20">
      <c r="A20" t="n">
        <v>19</v>
      </c>
      <c r="B20" t="n">
        <v>0.74522064935281</v>
      </c>
    </row>
    <row r="21">
      <c r="A21" t="n">
        <v>20</v>
      </c>
      <c r="B21" t="n">
        <v>0.82564612722574</v>
      </c>
    </row>
    <row r="22">
      <c r="A22" t="n">
        <v>21</v>
      </c>
      <c r="B22" t="n">
        <v>0.78366994238037</v>
      </c>
    </row>
    <row r="23">
      <c r="A23" t="n">
        <v>22</v>
      </c>
      <c r="B23" t="n">
        <v>0.7365981141620001</v>
      </c>
    </row>
    <row r="24">
      <c r="A24" t="n">
        <v>23</v>
      </c>
      <c r="B24" t="n">
        <v>0.23805467517098</v>
      </c>
    </row>
    <row r="25">
      <c r="A25" t="n">
        <v>24</v>
      </c>
      <c r="B25" t="n">
        <v>0.38151397598484</v>
      </c>
    </row>
    <row r="26">
      <c r="A26" t="n">
        <v>25</v>
      </c>
      <c r="B26" t="n">
        <v>0.64999074318209</v>
      </c>
    </row>
    <row r="27">
      <c r="A27" t="n">
        <v>26</v>
      </c>
      <c r="B27" t="n">
        <v>0.90786678095238</v>
      </c>
    </row>
    <row r="28">
      <c r="A28" t="n">
        <v>27</v>
      </c>
      <c r="B28" t="n">
        <v>0.93290888198375</v>
      </c>
    </row>
    <row r="29">
      <c r="A29" t="n">
        <v>28</v>
      </c>
      <c r="B29" t="n">
        <v>0.9979612344387</v>
      </c>
    </row>
    <row r="30">
      <c r="A30" t="n">
        <v>29</v>
      </c>
      <c r="B30" t="n">
        <v>0.23548109607725</v>
      </c>
    </row>
    <row r="31">
      <c r="A31" t="n">
        <v>30</v>
      </c>
      <c r="B31" t="n">
        <v>0.04789745656994</v>
      </c>
    </row>
    <row r="32">
      <c r="A32" t="n">
        <v>31</v>
      </c>
      <c r="B32" t="n">
        <v>0.9414478739594</v>
      </c>
    </row>
    <row r="33">
      <c r="A33" t="n">
        <v>32</v>
      </c>
      <c r="B33" t="n">
        <v>0.20775249628392</v>
      </c>
    </row>
    <row r="34">
      <c r="A34" t="n">
        <v>33</v>
      </c>
      <c r="B34" t="n">
        <v>0.9213317262037301</v>
      </c>
    </row>
    <row r="35">
      <c r="A35" t="n">
        <v>34</v>
      </c>
      <c r="B35" t="n">
        <v>0.46791556539844</v>
      </c>
    </row>
    <row r="36">
      <c r="A36" t="n">
        <v>35</v>
      </c>
      <c r="B36" t="n">
        <v>0.23643897711998</v>
      </c>
    </row>
    <row r="37">
      <c r="A37" t="n">
        <v>36</v>
      </c>
      <c r="B37" t="n">
        <v>0.8525171377831799</v>
      </c>
    </row>
    <row r="38">
      <c r="A38" t="n">
        <v>37</v>
      </c>
      <c r="B38" t="n">
        <v>0.37843980431443</v>
      </c>
    </row>
    <row r="39">
      <c r="A39" t="n">
        <v>38</v>
      </c>
      <c r="B39" t="n">
        <v>0.15168225141334</v>
      </c>
    </row>
    <row r="40">
      <c r="A40" t="n">
        <v>39</v>
      </c>
      <c r="B40" t="n">
        <v>0.41980999555402</v>
      </c>
    </row>
    <row r="41">
      <c r="A41" t="n">
        <v>40</v>
      </c>
      <c r="B41" t="n">
        <v>0.7903604734013</v>
      </c>
    </row>
    <row r="42">
      <c r="A42" t="n">
        <v>41</v>
      </c>
      <c r="B42" t="n">
        <v>0.87997405331569</v>
      </c>
    </row>
    <row r="43">
      <c r="A43" t="n">
        <v>42</v>
      </c>
      <c r="B43" t="n">
        <v>0.23441182751618</v>
      </c>
    </row>
    <row r="44">
      <c r="A44" t="n">
        <v>43</v>
      </c>
      <c r="B44" t="n">
        <v>0.4490821244062</v>
      </c>
    </row>
    <row r="45">
      <c r="A45" t="n">
        <v>44</v>
      </c>
      <c r="B45" t="n">
        <v>0.62373015957744</v>
      </c>
    </row>
    <row r="46">
      <c r="A46" t="n">
        <v>45</v>
      </c>
      <c r="B46" t="n">
        <v>0.01685307673914</v>
      </c>
    </row>
    <row r="47">
      <c r="A47" t="n">
        <v>46</v>
      </c>
      <c r="B47" t="n">
        <v>0.55686315830858</v>
      </c>
    </row>
    <row r="48">
      <c r="A48" t="n">
        <v>47</v>
      </c>
      <c r="B48" t="n">
        <v>0.72556243106486</v>
      </c>
    </row>
    <row r="49">
      <c r="A49" t="n">
        <v>48</v>
      </c>
      <c r="B49" t="n">
        <v>0.95605516794367</v>
      </c>
    </row>
    <row r="50">
      <c r="A50" t="n">
        <v>49</v>
      </c>
      <c r="B50" t="n">
        <v>0.39143830150431</v>
      </c>
    </row>
    <row r="51">
      <c r="A51" t="n">
        <v>50</v>
      </c>
      <c r="B51" t="n">
        <v>0.9691436140189</v>
      </c>
    </row>
    <row r="52">
      <c r="A52" t="n">
        <v>51</v>
      </c>
      <c r="B52" t="n">
        <v>0.01031029152272</v>
      </c>
    </row>
    <row r="53">
      <c r="A53" t="n">
        <v>52</v>
      </c>
      <c r="B53" t="n">
        <v>0.23389649553502</v>
      </c>
    </row>
    <row r="54">
      <c r="A54" t="n">
        <v>53</v>
      </c>
      <c r="B54" t="n">
        <v>0.31950052311121</v>
      </c>
    </row>
    <row r="55">
      <c r="A55" t="n">
        <v>54</v>
      </c>
      <c r="B55" t="n">
        <v>0.51099730771468</v>
      </c>
    </row>
    <row r="56">
      <c r="A56" t="n">
        <v>55</v>
      </c>
      <c r="B56" t="n">
        <v>0.47925971245974</v>
      </c>
    </row>
    <row r="57">
      <c r="A57" t="n">
        <v>56</v>
      </c>
      <c r="B57" t="n">
        <v>0.27131023868078</v>
      </c>
    </row>
    <row r="58">
      <c r="A58" t="n">
        <v>57</v>
      </c>
      <c r="B58" t="n">
        <v>0.41179730876403</v>
      </c>
    </row>
    <row r="59">
      <c r="A59" t="n">
        <v>58</v>
      </c>
      <c r="B59" t="n">
        <v>0.05322731747795</v>
      </c>
    </row>
    <row r="60">
      <c r="A60" t="n">
        <v>59</v>
      </c>
      <c r="B60" t="n">
        <v>0.8535825508684</v>
      </c>
    </row>
    <row r="61">
      <c r="A61" t="n">
        <v>60</v>
      </c>
      <c r="B61" t="n">
        <v>0.39187780647959</v>
      </c>
    </row>
    <row r="62">
      <c r="A62" t="n">
        <v>61</v>
      </c>
      <c r="B62" t="n">
        <v>0.51690232575307</v>
      </c>
    </row>
    <row r="63">
      <c r="A63" t="n">
        <v>62</v>
      </c>
      <c r="B63" t="n">
        <v>0.9481571736819</v>
      </c>
    </row>
    <row r="64">
      <c r="A64" t="n">
        <v>63</v>
      </c>
      <c r="B64" t="n">
        <v>0.50028424319177</v>
      </c>
    </row>
    <row r="65">
      <c r="A65" t="n">
        <v>64</v>
      </c>
      <c r="B65" t="n">
        <v>0.02924238054144</v>
      </c>
    </row>
    <row r="66">
      <c r="A66" t="n">
        <v>65</v>
      </c>
      <c r="B66" t="n">
        <v>0.52657822773573</v>
      </c>
    </row>
    <row r="67">
      <c r="A67" t="n">
        <v>66</v>
      </c>
      <c r="B67" t="n">
        <v>0.74307626041315</v>
      </c>
    </row>
    <row r="68">
      <c r="A68" t="n">
        <v>67</v>
      </c>
      <c r="B68" t="n">
        <v>0.79859128211403</v>
      </c>
    </row>
    <row r="69">
      <c r="A69" t="n">
        <v>68</v>
      </c>
      <c r="B69" t="n">
        <v>0.92420896837098</v>
      </c>
    </row>
    <row r="70">
      <c r="A70" t="n">
        <v>69</v>
      </c>
      <c r="B70" t="n">
        <v>0.58712553499345</v>
      </c>
    </row>
    <row r="71">
      <c r="A71" t="n">
        <v>70</v>
      </c>
      <c r="B71" t="n">
        <v>0.48622693218946</v>
      </c>
    </row>
    <row r="72">
      <c r="A72" t="n">
        <v>71</v>
      </c>
      <c r="B72" t="n">
        <v>0.83912512599361</v>
      </c>
    </row>
    <row r="73">
      <c r="A73" t="n">
        <v>72</v>
      </c>
      <c r="B73" t="n">
        <v>0.53829573846516</v>
      </c>
    </row>
    <row r="74">
      <c r="A74" t="n">
        <v>73</v>
      </c>
      <c r="B74" t="n">
        <v>0.8114336099202299</v>
      </c>
    </row>
    <row r="75">
      <c r="A75" t="n">
        <v>74</v>
      </c>
      <c r="B75" t="n">
        <v>0.69634079700456</v>
      </c>
    </row>
    <row r="76">
      <c r="A76" t="n">
        <v>75</v>
      </c>
      <c r="B76" t="n">
        <v>0.78144329861746</v>
      </c>
    </row>
    <row r="77">
      <c r="A77" t="n">
        <v>76</v>
      </c>
      <c r="B77" t="n">
        <v>0.29242342738769</v>
      </c>
    </row>
    <row r="78">
      <c r="A78" t="n">
        <v>77</v>
      </c>
      <c r="B78" t="n">
        <v>0.35954810227978</v>
      </c>
    </row>
    <row r="79">
      <c r="A79" t="n">
        <v>78</v>
      </c>
      <c r="B79" t="n">
        <v>0.78076751963229</v>
      </c>
    </row>
    <row r="80">
      <c r="A80" t="n">
        <v>79</v>
      </c>
      <c r="B80" t="n">
        <v>0.9587330920817</v>
      </c>
    </row>
    <row r="81">
      <c r="A81" t="n">
        <v>80</v>
      </c>
      <c r="B81" t="n">
        <v>0.5942906119253401</v>
      </c>
    </row>
    <row r="82">
      <c r="A82" t="n">
        <v>81</v>
      </c>
      <c r="B82" t="n">
        <v>0.03915345779334</v>
      </c>
    </row>
    <row r="83">
      <c r="A83" t="n">
        <v>82</v>
      </c>
      <c r="B83" t="n">
        <v>0.12812812965729</v>
      </c>
    </row>
    <row r="84">
      <c r="A84" t="n">
        <v>83</v>
      </c>
      <c r="B84" t="n">
        <v>0.8936785491678</v>
      </c>
    </row>
    <row r="85">
      <c r="A85" t="n">
        <v>84</v>
      </c>
      <c r="B85" t="n">
        <v>0.05274301847571</v>
      </c>
    </row>
    <row r="86">
      <c r="A86" t="n">
        <v>85</v>
      </c>
      <c r="B86" t="n">
        <v>0.32257845890961</v>
      </c>
    </row>
    <row r="87">
      <c r="A87" t="n">
        <v>86</v>
      </c>
      <c r="B87" t="n">
        <v>0.07943206407653</v>
      </c>
    </row>
    <row r="88">
      <c r="A88" t="n">
        <v>87</v>
      </c>
      <c r="B88" t="n">
        <v>0.69969280070453</v>
      </c>
    </row>
    <row r="89">
      <c r="A89" t="n">
        <v>88</v>
      </c>
      <c r="B89" t="n">
        <v>0.06891734126317001</v>
      </c>
    </row>
    <row r="90">
      <c r="A90" t="n">
        <v>89</v>
      </c>
      <c r="B90" t="n">
        <v>0.4360742127532</v>
      </c>
    </row>
    <row r="91">
      <c r="A91" t="n">
        <v>90</v>
      </c>
      <c r="B91" t="n">
        <v>0.70387818211178</v>
      </c>
    </row>
    <row r="92">
      <c r="A92" t="n">
        <v>91</v>
      </c>
      <c r="B92" t="n">
        <v>0.91836319632638</v>
      </c>
    </row>
    <row r="93">
      <c r="A93" t="n">
        <v>92</v>
      </c>
      <c r="B93" t="n">
        <v>0.46807629935417</v>
      </c>
    </row>
    <row r="94">
      <c r="A94" t="n">
        <v>93</v>
      </c>
      <c r="B94" t="n">
        <v>0.20034262328891</v>
      </c>
    </row>
    <row r="95">
      <c r="A95" t="n">
        <v>94</v>
      </c>
      <c r="B95" t="n">
        <v>0.72044627223248</v>
      </c>
    </row>
    <row r="96">
      <c r="A96" t="n">
        <v>95</v>
      </c>
      <c r="B96" t="n">
        <v>0.008197823820829999</v>
      </c>
    </row>
    <row r="97">
      <c r="A97" t="n">
        <v>96</v>
      </c>
      <c r="B97" t="n">
        <v>0.22494956780765</v>
      </c>
    </row>
    <row r="98">
      <c r="A98" t="n">
        <v>97</v>
      </c>
      <c r="B98" t="n">
        <v>0.35188554861816</v>
      </c>
    </row>
    <row r="99">
      <c r="A99" t="n">
        <v>98</v>
      </c>
      <c r="B99" t="n">
        <v>0.0594669979112</v>
      </c>
    </row>
    <row r="100">
      <c r="A100" t="n">
        <v>99</v>
      </c>
      <c r="B100" t="n">
        <v>0.28937580541401</v>
      </c>
    </row>
    <row r="101">
      <c r="A101" t="n">
        <v>100</v>
      </c>
      <c r="B101" t="n">
        <v>0.9586889226012399</v>
      </c>
    </row>
    <row r="102">
      <c r="A102" t="n">
        <v>101</v>
      </c>
      <c r="B102" t="n">
        <v>0.51299842426269</v>
      </c>
    </row>
    <row r="103">
      <c r="A103" t="n">
        <v>102</v>
      </c>
      <c r="B103" t="n">
        <v>0.23643188165345</v>
      </c>
    </row>
    <row r="104">
      <c r="A104" t="n">
        <v>103</v>
      </c>
      <c r="B104" t="n">
        <v>0.29436169006842</v>
      </c>
    </row>
    <row r="105">
      <c r="A105" t="n">
        <v>104</v>
      </c>
      <c r="B105" t="n">
        <v>0.52228040741074</v>
      </c>
    </row>
    <row r="106">
      <c r="A106" t="n">
        <v>105</v>
      </c>
      <c r="B106" t="n">
        <v>0.05755019603937</v>
      </c>
    </row>
    <row r="107">
      <c r="A107" t="n">
        <v>106</v>
      </c>
      <c r="B107" t="n">
        <v>0.36414357155891</v>
      </c>
    </row>
    <row r="108">
      <c r="A108" t="n">
        <v>107</v>
      </c>
      <c r="B108" t="n">
        <v>0.58406293391544</v>
      </c>
    </row>
    <row r="109">
      <c r="A109" t="n">
        <v>108</v>
      </c>
      <c r="B109" t="n">
        <v>0.01506465812029</v>
      </c>
    </row>
    <row r="110">
      <c r="A110" t="n">
        <v>109</v>
      </c>
      <c r="B110" t="n">
        <v>0.7879983173064899</v>
      </c>
    </row>
    <row r="111">
      <c r="A111" t="n">
        <v>110</v>
      </c>
      <c r="B111" t="n">
        <v>0.88484452691034</v>
      </c>
    </row>
    <row r="112">
      <c r="A112" t="n">
        <v>111</v>
      </c>
      <c r="B112" t="n">
        <v>0.45720652070119</v>
      </c>
    </row>
    <row r="113">
      <c r="A113" t="n">
        <v>112</v>
      </c>
      <c r="B113" t="n">
        <v>0.46181128648887</v>
      </c>
    </row>
    <row r="114">
      <c r="A114" t="n">
        <v>113</v>
      </c>
      <c r="B114" t="n">
        <v>0.31373961540911</v>
      </c>
    </row>
    <row r="115">
      <c r="A115" t="n">
        <v>114</v>
      </c>
      <c r="B115" t="n">
        <v>0.80570141369397</v>
      </c>
    </row>
    <row r="116">
      <c r="A116" t="n">
        <v>115</v>
      </c>
      <c r="B116" t="n">
        <v>0.24527915630381</v>
      </c>
    </row>
    <row r="117">
      <c r="A117" t="n">
        <v>116</v>
      </c>
      <c r="B117" t="n">
        <v>0.65976612882827</v>
      </c>
    </row>
    <row r="118">
      <c r="A118" t="n">
        <v>117</v>
      </c>
      <c r="B118" t="n">
        <v>0.9877367427507801</v>
      </c>
    </row>
    <row r="119">
      <c r="A119" t="n">
        <v>118</v>
      </c>
      <c r="B119" t="n">
        <v>0.92249054899558</v>
      </c>
    </row>
    <row r="120">
      <c r="A120" t="n">
        <v>119</v>
      </c>
      <c r="B120" t="n">
        <v>0.78451297350072</v>
      </c>
    </row>
    <row r="121">
      <c r="A121" t="n">
        <v>120</v>
      </c>
      <c r="B121" t="n">
        <v>0.1966355271438</v>
      </c>
    </row>
    <row r="122">
      <c r="A122" t="n">
        <v>121</v>
      </c>
      <c r="B122" t="n">
        <v>0.57063613154635</v>
      </c>
    </row>
    <row r="123">
      <c r="A123" t="n">
        <v>122</v>
      </c>
      <c r="B123" t="n">
        <v>0.33177321734077</v>
      </c>
    </row>
    <row r="124">
      <c r="A124" t="n">
        <v>123</v>
      </c>
      <c r="B124" t="n">
        <v>0.35856372125735</v>
      </c>
    </row>
    <row r="125">
      <c r="A125" t="n">
        <v>124</v>
      </c>
      <c r="B125" t="n">
        <v>0.95628813731229</v>
      </c>
    </row>
    <row r="126">
      <c r="A126" t="n">
        <v>125</v>
      </c>
      <c r="B126" t="n">
        <v>0.43891215822918</v>
      </c>
    </row>
    <row r="127">
      <c r="A127" t="n">
        <v>126</v>
      </c>
      <c r="B127" t="n">
        <v>0.82252215126812</v>
      </c>
    </row>
    <row r="128">
      <c r="A128" t="n">
        <v>127</v>
      </c>
      <c r="B128" t="n">
        <v>0.33353282289869</v>
      </c>
    </row>
    <row r="129">
      <c r="A129" t="n">
        <v>128</v>
      </c>
      <c r="B129" t="n">
        <v>0.90889028406419</v>
      </c>
    </row>
    <row r="130">
      <c r="A130" t="n">
        <v>129</v>
      </c>
      <c r="B130" t="n">
        <v>0.80600517220279</v>
      </c>
    </row>
    <row r="131">
      <c r="A131" t="n">
        <v>130</v>
      </c>
      <c r="B131" t="n">
        <v>0.97972093269808</v>
      </c>
    </row>
    <row r="132">
      <c r="A132" t="n">
        <v>131</v>
      </c>
      <c r="B132" t="n">
        <v>0.78660507002378</v>
      </c>
    </row>
    <row r="133">
      <c r="A133" t="n">
        <v>132</v>
      </c>
      <c r="B133" t="n">
        <v>0.61744815946937</v>
      </c>
    </row>
    <row r="134">
      <c r="A134" t="n">
        <v>133</v>
      </c>
      <c r="B134" t="n">
        <v>0.88537890961565</v>
      </c>
    </row>
    <row r="135">
      <c r="A135" t="n">
        <v>134</v>
      </c>
      <c r="B135" t="n">
        <v>0.44436275664444</v>
      </c>
    </row>
    <row r="136">
      <c r="A136" t="n">
        <v>135</v>
      </c>
      <c r="B136" t="n">
        <v>0.08915679276767</v>
      </c>
    </row>
    <row r="137">
      <c r="A137" t="n">
        <v>136</v>
      </c>
      <c r="B137" t="n">
        <v>0.71099641899858</v>
      </c>
    </row>
    <row r="138">
      <c r="A138" t="n">
        <v>137</v>
      </c>
      <c r="B138" t="n">
        <v>0.9217171791063899</v>
      </c>
    </row>
    <row r="139">
      <c r="A139" t="n">
        <v>138</v>
      </c>
      <c r="B139" t="n">
        <v>0.91509273346273</v>
      </c>
    </row>
    <row r="140">
      <c r="A140" t="n">
        <v>139</v>
      </c>
      <c r="B140" t="n">
        <v>0.7982986650251001</v>
      </c>
    </row>
    <row r="141">
      <c r="A141" t="n">
        <v>140</v>
      </c>
      <c r="B141" t="n">
        <v>0.13177251981111</v>
      </c>
    </row>
    <row r="142">
      <c r="A142" t="n">
        <v>141</v>
      </c>
      <c r="B142" t="n">
        <v>0.16495285184356</v>
      </c>
    </row>
    <row r="143">
      <c r="A143" t="n">
        <v>142</v>
      </c>
      <c r="B143" t="n">
        <v>0.91953124769706</v>
      </c>
    </row>
    <row r="144">
      <c r="A144" t="n">
        <v>143</v>
      </c>
      <c r="B144" t="n">
        <v>0.72633043540128</v>
      </c>
    </row>
    <row r="145">
      <c r="A145" t="n">
        <v>144</v>
      </c>
      <c r="B145" t="n">
        <v>0.52638330763685</v>
      </c>
    </row>
    <row r="146">
      <c r="A146" t="n">
        <v>145</v>
      </c>
      <c r="B146" t="n">
        <v>0.33492575595613</v>
      </c>
    </row>
    <row r="147">
      <c r="A147" t="n">
        <v>146</v>
      </c>
      <c r="B147" t="n">
        <v>0.0439773504523</v>
      </c>
    </row>
    <row r="148">
      <c r="A148" t="n">
        <v>147</v>
      </c>
      <c r="B148" t="n">
        <v>0.36853220836658</v>
      </c>
    </row>
    <row r="149">
      <c r="A149" t="n">
        <v>148</v>
      </c>
      <c r="B149" t="n">
        <v>0.5848658459724601</v>
      </c>
    </row>
    <row r="150">
      <c r="A150" t="n">
        <v>149</v>
      </c>
      <c r="B150" t="n">
        <v>0.36887990641113</v>
      </c>
    </row>
    <row r="151">
      <c r="A151" t="n">
        <v>150</v>
      </c>
      <c r="B151" t="n">
        <v>0.47584906479045</v>
      </c>
    </row>
    <row r="152">
      <c r="A152" t="n">
        <v>151</v>
      </c>
      <c r="B152" t="n">
        <v>0.20264115000603</v>
      </c>
    </row>
    <row r="153">
      <c r="A153" t="n">
        <v>152</v>
      </c>
      <c r="B153" t="n">
        <v>0.36039062657514</v>
      </c>
    </row>
    <row r="154">
      <c r="A154" t="n">
        <v>153</v>
      </c>
      <c r="B154" t="n">
        <v>0.47117721737152</v>
      </c>
    </row>
    <row r="155">
      <c r="A155" t="n">
        <v>154</v>
      </c>
      <c r="B155" t="n">
        <v>0.69537541250254</v>
      </c>
    </row>
    <row r="156">
      <c r="A156" t="n">
        <v>155</v>
      </c>
      <c r="B156" t="n">
        <v>0.08236769145003001</v>
      </c>
    </row>
    <row r="157">
      <c r="A157" t="n">
        <v>156</v>
      </c>
      <c r="B157" t="n">
        <v>0.34701368085178</v>
      </c>
    </row>
    <row r="158">
      <c r="A158" t="n">
        <v>157</v>
      </c>
      <c r="B158" t="n">
        <v>0.61132350868185</v>
      </c>
    </row>
    <row r="159">
      <c r="A159" t="n">
        <v>158</v>
      </c>
      <c r="B159" t="n">
        <v>0.17853926584319</v>
      </c>
    </row>
    <row r="160">
      <c r="A160" t="n">
        <v>159</v>
      </c>
      <c r="B160" t="n">
        <v>0.32607191730247</v>
      </c>
    </row>
    <row r="161">
      <c r="A161" t="n">
        <v>160</v>
      </c>
      <c r="B161" t="n">
        <v>0.6016792162124101</v>
      </c>
    </row>
    <row r="162">
      <c r="A162" t="n">
        <v>161</v>
      </c>
      <c r="B162" t="n">
        <v>0.67848896788493</v>
      </c>
    </row>
    <row r="163">
      <c r="A163" t="n">
        <v>162</v>
      </c>
      <c r="B163" t="n">
        <v>0.16152528552252</v>
      </c>
    </row>
    <row r="164">
      <c r="A164" t="n">
        <v>163</v>
      </c>
      <c r="B164" t="n">
        <v>0.44099450912949</v>
      </c>
    </row>
    <row r="165">
      <c r="A165" t="n">
        <v>164</v>
      </c>
      <c r="B165" t="n">
        <v>0.77915231103669</v>
      </c>
    </row>
    <row r="166">
      <c r="A166" t="n">
        <v>165</v>
      </c>
      <c r="B166" t="n">
        <v>0.57579907902483</v>
      </c>
    </row>
    <row r="167">
      <c r="A167" t="n">
        <v>166</v>
      </c>
      <c r="B167" t="n">
        <v>0.30897451319956</v>
      </c>
    </row>
    <row r="168">
      <c r="A168" t="n">
        <v>167</v>
      </c>
      <c r="B168" t="n">
        <v>0.09205548727807999</v>
      </c>
    </row>
    <row r="169">
      <c r="A169" t="n">
        <v>168</v>
      </c>
      <c r="B169" t="n">
        <v>0.78526472054386</v>
      </c>
    </row>
    <row r="170">
      <c r="A170" t="n">
        <v>169</v>
      </c>
      <c r="B170" t="n">
        <v>0.7313783361149701</v>
      </c>
    </row>
    <row r="171">
      <c r="A171" t="n">
        <v>170</v>
      </c>
      <c r="B171" t="n">
        <v>0.00034654911036</v>
      </c>
    </row>
    <row r="172">
      <c r="A172" t="n">
        <v>171</v>
      </c>
      <c r="B172" t="n">
        <v>0.02119492643382</v>
      </c>
    </row>
    <row r="173">
      <c r="A173" t="n">
        <v>172</v>
      </c>
      <c r="B173" t="n">
        <v>0.45805849715643</v>
      </c>
    </row>
    <row r="174">
      <c r="A174" t="n">
        <v>173</v>
      </c>
      <c r="B174" t="n">
        <v>0.42119640470385</v>
      </c>
    </row>
    <row r="175">
      <c r="A175" t="n">
        <v>174</v>
      </c>
      <c r="B175" t="n">
        <v>0.9827193050368001</v>
      </c>
    </row>
    <row r="176">
      <c r="A176" t="n">
        <v>175</v>
      </c>
      <c r="B176" t="n">
        <v>0.33288766896842</v>
      </c>
    </row>
    <row r="177">
      <c r="A177" t="n">
        <v>176</v>
      </c>
      <c r="B177" t="n">
        <v>0.38732242120947</v>
      </c>
    </row>
    <row r="178">
      <c r="A178" t="n">
        <v>177</v>
      </c>
      <c r="B178" t="n">
        <v>0.13978358564086</v>
      </c>
    </row>
    <row r="179">
      <c r="A179" t="n">
        <v>178</v>
      </c>
      <c r="B179" t="n">
        <v>0.44751040139645</v>
      </c>
    </row>
    <row r="180">
      <c r="A180" t="n">
        <v>179</v>
      </c>
      <c r="B180" t="n">
        <v>0.29921461344689</v>
      </c>
    </row>
    <row r="181">
      <c r="A181" t="n">
        <v>180</v>
      </c>
      <c r="B181" t="n">
        <v>0.7397408886857</v>
      </c>
    </row>
    <row r="182">
      <c r="A182" t="n">
        <v>181</v>
      </c>
      <c r="B182" t="n">
        <v>0.8990699688503599</v>
      </c>
    </row>
    <row r="183">
      <c r="A183" t="n">
        <v>182</v>
      </c>
      <c r="B183" t="n">
        <v>0.36400454205801</v>
      </c>
    </row>
    <row r="184">
      <c r="A184" t="n">
        <v>183</v>
      </c>
      <c r="B184" t="n">
        <v>0.7421885076434001</v>
      </c>
    </row>
    <row r="185">
      <c r="A185" t="n">
        <v>184</v>
      </c>
      <c r="B185" t="n">
        <v>0.23875765012053</v>
      </c>
    </row>
    <row r="186">
      <c r="A186" t="n">
        <v>185</v>
      </c>
      <c r="B186" t="n">
        <v>0.76860418488046</v>
      </c>
    </row>
    <row r="187">
      <c r="A187" t="n">
        <v>186</v>
      </c>
      <c r="B187" t="n">
        <v>0.66134844266246</v>
      </c>
    </row>
    <row r="188">
      <c r="A188" t="n">
        <v>187</v>
      </c>
      <c r="B188" t="n">
        <v>0.39249008281441</v>
      </c>
    </row>
    <row r="189">
      <c r="A189" t="n">
        <v>188</v>
      </c>
      <c r="B189" t="n">
        <v>0.70584253984403</v>
      </c>
    </row>
    <row r="190">
      <c r="A190" t="n">
        <v>189</v>
      </c>
      <c r="B190" t="n">
        <v>0.50954818984712</v>
      </c>
    </row>
    <row r="191">
      <c r="A191" t="n">
        <v>190</v>
      </c>
      <c r="B191" t="n">
        <v>0.7945337354638899</v>
      </c>
    </row>
    <row r="192">
      <c r="A192" t="n">
        <v>191</v>
      </c>
      <c r="B192" t="n">
        <v>0.67813618274764</v>
      </c>
    </row>
    <row r="193">
      <c r="A193" t="n">
        <v>192</v>
      </c>
      <c r="B193" t="n">
        <v>0.5659568729099</v>
      </c>
    </row>
    <row r="194">
      <c r="A194" t="n">
        <v>193</v>
      </c>
      <c r="B194" t="n">
        <v>0.87757538440997</v>
      </c>
    </row>
    <row r="195">
      <c r="A195" t="n">
        <v>194</v>
      </c>
      <c r="B195" t="n">
        <v>0.91353504825315</v>
      </c>
    </row>
    <row r="196">
      <c r="A196" t="n">
        <v>195</v>
      </c>
      <c r="B196" t="n">
        <v>0.99381067567703</v>
      </c>
    </row>
    <row r="197">
      <c r="A197" t="n">
        <v>196</v>
      </c>
      <c r="B197" t="n">
        <v>0.00589693973695</v>
      </c>
    </row>
    <row r="198">
      <c r="A198" t="n">
        <v>197</v>
      </c>
      <c r="B198" t="n">
        <v>0.00666269281212</v>
      </c>
    </row>
    <row r="199">
      <c r="A199" t="n">
        <v>198</v>
      </c>
      <c r="B199" t="n">
        <v>0.32020120429612</v>
      </c>
    </row>
    <row r="200">
      <c r="A200" t="n">
        <v>199</v>
      </c>
      <c r="B200" t="n">
        <v>0.07119435218214</v>
      </c>
    </row>
    <row r="201">
      <c r="A201" t="n">
        <v>200</v>
      </c>
      <c r="B201" t="n">
        <v>0.32634514515932</v>
      </c>
    </row>
    <row r="202">
      <c r="A202" t="n">
        <v>201</v>
      </c>
      <c r="B202" t="n">
        <v>0.23416112212868</v>
      </c>
    </row>
    <row r="203">
      <c r="A203" t="n">
        <v>202</v>
      </c>
      <c r="B203" t="n">
        <v>0.18963522036689</v>
      </c>
    </row>
    <row r="204">
      <c r="A204" t="n">
        <v>203</v>
      </c>
      <c r="B204" t="n">
        <v>0.31443381641232</v>
      </c>
    </row>
    <row r="205">
      <c r="A205" t="n">
        <v>204</v>
      </c>
      <c r="B205" t="n">
        <v>0.10055292764196</v>
      </c>
    </row>
    <row r="206">
      <c r="A206" t="n">
        <v>205</v>
      </c>
      <c r="B206" t="n">
        <v>0.92908753320396</v>
      </c>
    </row>
    <row r="207">
      <c r="A207" t="n">
        <v>206</v>
      </c>
      <c r="B207" t="n">
        <v>0.14859145314713</v>
      </c>
    </row>
    <row r="208">
      <c r="A208" t="n">
        <v>207</v>
      </c>
      <c r="B208" t="n">
        <v>0.29161291707087</v>
      </c>
    </row>
    <row r="209">
      <c r="A209" t="n">
        <v>208</v>
      </c>
      <c r="B209" t="n">
        <v>0.29385631081933</v>
      </c>
    </row>
    <row r="210">
      <c r="A210" t="n">
        <v>209</v>
      </c>
      <c r="B210" t="n">
        <v>0.5626616414023899</v>
      </c>
    </row>
    <row r="211">
      <c r="A211" t="n">
        <v>210</v>
      </c>
      <c r="B211" t="n">
        <v>0.45881151468526</v>
      </c>
    </row>
    <row r="212">
      <c r="A212" t="n">
        <v>211</v>
      </c>
      <c r="B212" t="n">
        <v>0.66325405936341</v>
      </c>
    </row>
    <row r="213">
      <c r="A213" t="n">
        <v>212</v>
      </c>
      <c r="B213" t="n">
        <v>0.77024086607557</v>
      </c>
    </row>
    <row r="214">
      <c r="A214" t="n">
        <v>213</v>
      </c>
      <c r="B214" t="n">
        <v>0.04624443610933</v>
      </c>
    </row>
    <row r="215">
      <c r="A215" t="n">
        <v>214</v>
      </c>
      <c r="B215" t="n">
        <v>0.35667959317786</v>
      </c>
    </row>
    <row r="216">
      <c r="A216" t="n">
        <v>215</v>
      </c>
      <c r="B216" t="n">
        <v>0.37442062926657</v>
      </c>
    </row>
    <row r="217">
      <c r="A217" t="n">
        <v>216</v>
      </c>
      <c r="B217" t="n">
        <v>0.6635809183231099</v>
      </c>
    </row>
    <row r="218">
      <c r="A218" t="n">
        <v>217</v>
      </c>
      <c r="B218" t="n">
        <v>0.78863857230997</v>
      </c>
    </row>
    <row r="219">
      <c r="A219" t="n">
        <v>218</v>
      </c>
      <c r="B219" t="n">
        <v>0.16254311085546</v>
      </c>
    </row>
    <row r="220">
      <c r="A220" t="n">
        <v>219</v>
      </c>
      <c r="B220" t="n">
        <v>0.24077589396653</v>
      </c>
    </row>
    <row r="221">
      <c r="A221" t="n">
        <v>220</v>
      </c>
      <c r="B221" t="n">
        <v>0.23786116603783</v>
      </c>
    </row>
    <row r="222">
      <c r="A222" t="n">
        <v>221</v>
      </c>
      <c r="B222" t="n">
        <v>0.7410045066729301</v>
      </c>
    </row>
    <row r="223">
      <c r="A223" t="n">
        <v>222</v>
      </c>
      <c r="B223" t="n">
        <v>0.81500682205634</v>
      </c>
    </row>
    <row r="224">
      <c r="A224" t="n">
        <v>223</v>
      </c>
      <c r="B224" t="n">
        <v>0.64344319583485</v>
      </c>
    </row>
    <row r="225">
      <c r="A225" t="n">
        <v>224</v>
      </c>
      <c r="B225" t="n">
        <v>0.25509323224248</v>
      </c>
    </row>
    <row r="226">
      <c r="A226" t="n">
        <v>225</v>
      </c>
      <c r="B226" t="n">
        <v>0.30651005706726</v>
      </c>
    </row>
    <row r="227">
      <c r="A227" t="n">
        <v>226</v>
      </c>
      <c r="B227" t="n">
        <v>0.7236287520559</v>
      </c>
    </row>
    <row r="228">
      <c r="A228" t="n">
        <v>227</v>
      </c>
      <c r="B228" t="n">
        <v>0.64150645144922</v>
      </c>
    </row>
    <row r="229">
      <c r="A229" t="n">
        <v>228</v>
      </c>
      <c r="B229" t="n">
        <v>0.47364125755216</v>
      </c>
    </row>
    <row r="230">
      <c r="A230" t="n">
        <v>229</v>
      </c>
      <c r="B230" t="n">
        <v>0.8807817315353</v>
      </c>
    </row>
    <row r="231">
      <c r="A231" t="n">
        <v>230</v>
      </c>
      <c r="B231" t="n">
        <v>0.74695524985996</v>
      </c>
    </row>
    <row r="232">
      <c r="A232" t="n">
        <v>231</v>
      </c>
      <c r="B232" t="n">
        <v>0.09338883870039</v>
      </c>
    </row>
    <row r="233">
      <c r="A233" t="n">
        <v>232</v>
      </c>
      <c r="B233" t="n">
        <v>0.52754871069453</v>
      </c>
    </row>
    <row r="234">
      <c r="A234" t="n">
        <v>233</v>
      </c>
      <c r="B234" t="n">
        <v>0.46768110786906</v>
      </c>
    </row>
    <row r="235">
      <c r="A235" t="n">
        <v>234</v>
      </c>
      <c r="B235" t="n">
        <v>0.03987040714226</v>
      </c>
    </row>
    <row r="236">
      <c r="A236" t="n">
        <v>235</v>
      </c>
      <c r="B236" t="n">
        <v>0.82985548309926</v>
      </c>
    </row>
    <row r="237">
      <c r="A237" t="n">
        <v>236</v>
      </c>
      <c r="B237" t="n">
        <v>0.99209965102787</v>
      </c>
    </row>
    <row r="238">
      <c r="A238" t="n">
        <v>237</v>
      </c>
      <c r="B238" t="n">
        <v>0.2663033204781</v>
      </c>
    </row>
    <row r="239">
      <c r="A239" t="n">
        <v>238</v>
      </c>
      <c r="B239" t="n">
        <v>0.55436618898668</v>
      </c>
    </row>
    <row r="240">
      <c r="A240" t="n">
        <v>239</v>
      </c>
      <c r="B240" t="n">
        <v>0.23420222286608</v>
      </c>
    </row>
    <row r="241">
      <c r="A241" t="n">
        <v>240</v>
      </c>
      <c r="B241" t="n">
        <v>0.60693437803961</v>
      </c>
    </row>
    <row r="242">
      <c r="A242" t="n">
        <v>241</v>
      </c>
      <c r="B242" t="n">
        <v>0.20650164265803</v>
      </c>
    </row>
    <row r="243">
      <c r="A243" t="n">
        <v>242</v>
      </c>
      <c r="B243" t="n">
        <v>0.84305707061059</v>
      </c>
    </row>
    <row r="244">
      <c r="A244" t="n">
        <v>243</v>
      </c>
      <c r="B244" t="n">
        <v>0.32573912711596</v>
      </c>
    </row>
    <row r="245">
      <c r="A245" t="n">
        <v>244</v>
      </c>
      <c r="B245" t="n">
        <v>0.99813240478729</v>
      </c>
    </row>
    <row r="246">
      <c r="A246" t="n">
        <v>245</v>
      </c>
      <c r="B246" t="n">
        <v>0.45724181701748</v>
      </c>
    </row>
    <row r="247">
      <c r="A247" t="n">
        <v>246</v>
      </c>
      <c r="B247" t="n">
        <v>0.49535627172934</v>
      </c>
    </row>
    <row r="248">
      <c r="A248" t="n">
        <v>247</v>
      </c>
      <c r="B248" t="n">
        <v>0.8218753611309</v>
      </c>
    </row>
    <row r="249">
      <c r="A249" t="n">
        <v>248</v>
      </c>
      <c r="B249" t="n">
        <v>0.32007158583651</v>
      </c>
    </row>
    <row r="250">
      <c r="A250" t="n">
        <v>249</v>
      </c>
      <c r="B250" t="n">
        <v>0.21084465834902</v>
      </c>
    </row>
    <row r="251">
      <c r="A251" t="n">
        <v>250</v>
      </c>
      <c r="B251" t="n">
        <v>0.01910996128645</v>
      </c>
    </row>
    <row r="252">
      <c r="A252" t="n">
        <v>251</v>
      </c>
      <c r="B252" t="n">
        <v>0.04169446772808</v>
      </c>
    </row>
    <row r="253">
      <c r="A253" t="n">
        <v>252</v>
      </c>
      <c r="B253" t="n">
        <v>0.87437305014653</v>
      </c>
    </row>
    <row r="254">
      <c r="A254" t="n">
        <v>253</v>
      </c>
      <c r="B254" t="n">
        <v>0.10023544291003</v>
      </c>
    </row>
    <row r="255">
      <c r="A255" t="n">
        <v>254</v>
      </c>
      <c r="B255" t="n">
        <v>0.78240001562949</v>
      </c>
    </row>
    <row r="256">
      <c r="A256" t="n">
        <v>255</v>
      </c>
      <c r="B256" t="n">
        <v>0.34092214611294</v>
      </c>
    </row>
    <row r="257">
      <c r="A257" t="n">
        <v>256</v>
      </c>
      <c r="B257" t="n">
        <v>0.00057916518015</v>
      </c>
    </row>
    <row r="258">
      <c r="A258" t="n">
        <v>257</v>
      </c>
      <c r="B258" t="n">
        <v>0.96047347267716</v>
      </c>
    </row>
    <row r="259">
      <c r="A259" t="n">
        <v>258</v>
      </c>
      <c r="B259" t="n">
        <v>0.8618101860047001</v>
      </c>
    </row>
    <row r="260">
      <c r="A260" t="n">
        <v>259</v>
      </c>
      <c r="B260" t="n">
        <v>0.65155806643234</v>
      </c>
    </row>
    <row r="261">
      <c r="A261" t="n">
        <v>260</v>
      </c>
      <c r="B261" t="n">
        <v>0.81258109168918</v>
      </c>
    </row>
    <row r="262">
      <c r="A262" t="n">
        <v>261</v>
      </c>
      <c r="B262" t="n">
        <v>0.05988821332175</v>
      </c>
    </row>
    <row r="263">
      <c r="A263" t="n">
        <v>262</v>
      </c>
      <c r="B263" t="n">
        <v>0.41886038121792</v>
      </c>
    </row>
    <row r="264">
      <c r="A264" t="n">
        <v>263</v>
      </c>
      <c r="B264" t="n">
        <v>0.86608509724962</v>
      </c>
    </row>
    <row r="265">
      <c r="A265" t="n">
        <v>264</v>
      </c>
      <c r="B265" t="n">
        <v>1.399689385e-05</v>
      </c>
    </row>
    <row r="266">
      <c r="A266" t="n">
        <v>265</v>
      </c>
      <c r="B266" t="n">
        <v>0.06095047439719</v>
      </c>
    </row>
    <row r="267">
      <c r="A267" t="n">
        <v>266</v>
      </c>
      <c r="B267" t="n">
        <v>0.7393672432970499</v>
      </c>
    </row>
    <row r="268">
      <c r="A268" t="n">
        <v>267</v>
      </c>
      <c r="B268" t="n">
        <v>0.53055552470885</v>
      </c>
    </row>
    <row r="269">
      <c r="A269" t="n">
        <v>268</v>
      </c>
      <c r="B269" t="n">
        <v>0.17645160209755</v>
      </c>
    </row>
    <row r="270">
      <c r="A270" t="n">
        <v>269</v>
      </c>
      <c r="B270" t="n">
        <v>0.11182372136789</v>
      </c>
    </row>
    <row r="271">
      <c r="A271" t="n">
        <v>270</v>
      </c>
      <c r="B271" t="n">
        <v>0.67072350433581</v>
      </c>
    </row>
    <row r="272">
      <c r="A272" t="n">
        <v>271</v>
      </c>
      <c r="B272" t="n">
        <v>0.64185344921771</v>
      </c>
    </row>
    <row r="273">
      <c r="A273" t="n">
        <v>272</v>
      </c>
      <c r="B273" t="n">
        <v>0.17996596716402</v>
      </c>
    </row>
    <row r="274">
      <c r="A274" t="n">
        <v>273</v>
      </c>
      <c r="B274" t="n">
        <v>0.49037429042097</v>
      </c>
    </row>
    <row r="275">
      <c r="A275" t="n">
        <v>274</v>
      </c>
      <c r="B275" t="n">
        <v>0.36939053585552</v>
      </c>
    </row>
    <row r="276">
      <c r="A276" t="n">
        <v>275</v>
      </c>
      <c r="B276" t="n">
        <v>0.5641314953030599</v>
      </c>
    </row>
    <row r="277">
      <c r="A277" t="n">
        <v>276</v>
      </c>
      <c r="B277" t="n">
        <v>0.39423737955301</v>
      </c>
    </row>
    <row r="278">
      <c r="A278" t="n">
        <v>277</v>
      </c>
      <c r="B278" t="n">
        <v>0.50817978415951</v>
      </c>
    </row>
    <row r="279">
      <c r="A279" t="n">
        <v>278</v>
      </c>
      <c r="B279" t="n">
        <v>0.27002906253319</v>
      </c>
    </row>
    <row r="280">
      <c r="A280" t="n">
        <v>279</v>
      </c>
      <c r="B280" t="n">
        <v>0.21369312859563</v>
      </c>
    </row>
    <row r="281">
      <c r="A281" t="n">
        <v>280</v>
      </c>
      <c r="B281" t="n">
        <v>0.24634201177209</v>
      </c>
    </row>
    <row r="282">
      <c r="A282" t="n">
        <v>281</v>
      </c>
      <c r="B282" t="n">
        <v>0.54398254838816</v>
      </c>
    </row>
    <row r="283">
      <c r="A283" t="n">
        <v>282</v>
      </c>
      <c r="B283" t="n">
        <v>0.15004699834153</v>
      </c>
    </row>
    <row r="284">
      <c r="A284" t="n">
        <v>283</v>
      </c>
      <c r="B284" t="n">
        <v>0.45146348997005</v>
      </c>
    </row>
    <row r="285">
      <c r="A285" t="n">
        <v>284</v>
      </c>
      <c r="B285" t="n">
        <v>0.17500504075765</v>
      </c>
    </row>
    <row r="286">
      <c r="A286" t="n">
        <v>285</v>
      </c>
      <c r="B286" t="n">
        <v>0.22245653973545</v>
      </c>
    </row>
    <row r="287">
      <c r="A287" t="n">
        <v>286</v>
      </c>
      <c r="B287" t="n">
        <v>0.87186815894078</v>
      </c>
    </row>
    <row r="288">
      <c r="A288" t="n">
        <v>287</v>
      </c>
      <c r="B288" t="n">
        <v>0.2669915713857</v>
      </c>
    </row>
    <row r="289">
      <c r="A289" t="n">
        <v>288</v>
      </c>
      <c r="B289" t="n">
        <v>0.75021966720891</v>
      </c>
    </row>
    <row r="290">
      <c r="A290" t="n">
        <v>289</v>
      </c>
      <c r="B290" t="n">
        <v>0.1785607449145</v>
      </c>
    </row>
    <row r="291">
      <c r="A291" t="n">
        <v>290</v>
      </c>
      <c r="B291" t="n">
        <v>0.09176903517929</v>
      </c>
    </row>
    <row r="292">
      <c r="A292" t="n">
        <v>291</v>
      </c>
      <c r="B292" t="n">
        <v>0.3567367777665</v>
      </c>
    </row>
    <row r="293">
      <c r="A293" t="n">
        <v>292</v>
      </c>
      <c r="B293" t="n">
        <v>0.04155717550078</v>
      </c>
    </row>
    <row r="294">
      <c r="A294" t="n">
        <v>293</v>
      </c>
      <c r="B294" t="n">
        <v>0.0612425704562</v>
      </c>
    </row>
    <row r="295">
      <c r="A295" t="n">
        <v>294</v>
      </c>
      <c r="B295" t="n">
        <v>0.53838442393787</v>
      </c>
    </row>
    <row r="296">
      <c r="A296" t="n">
        <v>295</v>
      </c>
      <c r="B296" t="n">
        <v>0.97868594564961</v>
      </c>
    </row>
    <row r="297">
      <c r="A297" t="n">
        <v>296</v>
      </c>
      <c r="B297" t="n">
        <v>0.15634400958041</v>
      </c>
    </row>
    <row r="298">
      <c r="A298" t="n">
        <v>297</v>
      </c>
      <c r="B298" t="n">
        <v>0.85291241516935</v>
      </c>
    </row>
    <row r="299">
      <c r="A299" t="n">
        <v>298</v>
      </c>
      <c r="B299" t="n">
        <v>0.80452955076952</v>
      </c>
    </row>
    <row r="300">
      <c r="A300" t="n">
        <v>299</v>
      </c>
      <c r="B300" t="n">
        <v>0.96150592902709</v>
      </c>
    </row>
    <row r="301">
      <c r="A301" t="n">
        <v>300</v>
      </c>
      <c r="B301" t="n">
        <v>0.3336034860473</v>
      </c>
    </row>
    <row r="302">
      <c r="A302" t="n">
        <v>301</v>
      </c>
      <c r="B302" t="n">
        <v>0.84402584614542</v>
      </c>
    </row>
    <row r="303">
      <c r="A303" t="n">
        <v>302</v>
      </c>
      <c r="B303" t="n">
        <v>0.4161983365498</v>
      </c>
    </row>
    <row r="304">
      <c r="A304" t="n">
        <v>303</v>
      </c>
      <c r="B304" t="n">
        <v>0.24064763995937</v>
      </c>
    </row>
    <row r="305">
      <c r="A305" t="n">
        <v>304</v>
      </c>
      <c r="B305" t="n">
        <v>0.6218457862952</v>
      </c>
    </row>
    <row r="306">
      <c r="A306" t="n">
        <v>305</v>
      </c>
      <c r="B306" t="n">
        <v>0.21838386962845</v>
      </c>
    </row>
    <row r="307">
      <c r="A307" t="n">
        <v>306</v>
      </c>
      <c r="B307" t="n">
        <v>0.48404393389268</v>
      </c>
    </row>
    <row r="308">
      <c r="A308" t="n">
        <v>307</v>
      </c>
      <c r="B308" t="n">
        <v>0.06608002374455001</v>
      </c>
    </row>
    <row r="309">
      <c r="A309" t="n">
        <v>308</v>
      </c>
      <c r="B309" t="n">
        <v>0.05454945669228</v>
      </c>
    </row>
    <row r="310">
      <c r="A310" t="n">
        <v>309</v>
      </c>
      <c r="B310" t="n">
        <v>0.20015985456111</v>
      </c>
    </row>
    <row r="311">
      <c r="A311" t="n">
        <v>310</v>
      </c>
      <c r="B311" t="n">
        <v>0.69798555200523</v>
      </c>
    </row>
    <row r="312">
      <c r="A312" t="n">
        <v>311</v>
      </c>
      <c r="B312" t="n">
        <v>0.47144006366405</v>
      </c>
    </row>
    <row r="313">
      <c r="A313" t="n">
        <v>312</v>
      </c>
      <c r="B313" t="n">
        <v>0.13024664526146</v>
      </c>
    </row>
    <row r="314">
      <c r="A314" t="n">
        <v>313</v>
      </c>
      <c r="B314" t="n">
        <v>0.3694878547755</v>
      </c>
    </row>
    <row r="315">
      <c r="A315" t="n">
        <v>314</v>
      </c>
      <c r="B315" t="n">
        <v>0.21107926619648</v>
      </c>
    </row>
    <row r="316">
      <c r="A316" t="n">
        <v>315</v>
      </c>
      <c r="B316" t="n">
        <v>0.92057176679325</v>
      </c>
    </row>
    <row r="317">
      <c r="A317" t="n">
        <v>316</v>
      </c>
      <c r="B317" t="n">
        <v>0.84395917949165</v>
      </c>
    </row>
    <row r="318">
      <c r="A318" t="n">
        <v>317</v>
      </c>
      <c r="B318" t="n">
        <v>0.57647220026074</v>
      </c>
    </row>
    <row r="319">
      <c r="A319" t="n">
        <v>318</v>
      </c>
      <c r="B319" t="n">
        <v>0.31921401036275</v>
      </c>
    </row>
    <row r="320">
      <c r="A320" t="n">
        <v>319</v>
      </c>
      <c r="B320" t="n">
        <v>0.89721012080813</v>
      </c>
    </row>
    <row r="321">
      <c r="A321" t="n">
        <v>320</v>
      </c>
      <c r="B321" t="n">
        <v>0.41073905418683</v>
      </c>
    </row>
    <row r="322">
      <c r="A322" t="n">
        <v>321</v>
      </c>
      <c r="B322" t="n">
        <v>0.78963572535694</v>
      </c>
    </row>
    <row r="323">
      <c r="A323" t="n">
        <v>322</v>
      </c>
      <c r="B323" t="n">
        <v>0.06905330136087</v>
      </c>
    </row>
    <row r="324">
      <c r="A324" t="n">
        <v>323</v>
      </c>
      <c r="B324" t="n">
        <v>0.5941885202825</v>
      </c>
    </row>
    <row r="325">
      <c r="A325" t="n">
        <v>324</v>
      </c>
      <c r="B325" t="n">
        <v>0.74092067361383</v>
      </c>
    </row>
    <row r="326">
      <c r="A326" t="n">
        <v>325</v>
      </c>
      <c r="B326" t="n">
        <v>0.5884011250872</v>
      </c>
    </row>
    <row r="327">
      <c r="A327" t="n">
        <v>326</v>
      </c>
      <c r="B327" t="n">
        <v>0.07120140026793</v>
      </c>
    </row>
    <row r="328">
      <c r="A328" t="n">
        <v>327</v>
      </c>
      <c r="B328" t="n">
        <v>0.07034549576767</v>
      </c>
    </row>
    <row r="329">
      <c r="A329" t="n">
        <v>328</v>
      </c>
      <c r="B329" t="n">
        <v>0.86442257094911</v>
      </c>
    </row>
    <row r="330">
      <c r="A330" t="n">
        <v>329</v>
      </c>
      <c r="B330" t="n">
        <v>0.53073826907845</v>
      </c>
    </row>
    <row r="331">
      <c r="A331" t="n">
        <v>330</v>
      </c>
      <c r="B331" t="n">
        <v>0.06855232245986</v>
      </c>
    </row>
    <row r="332">
      <c r="A332" t="n">
        <v>331</v>
      </c>
      <c r="B332" t="n">
        <v>0.12957592258171</v>
      </c>
    </row>
    <row r="333">
      <c r="A333" t="n">
        <v>332</v>
      </c>
      <c r="B333" t="n">
        <v>0.8267361365108</v>
      </c>
    </row>
    <row r="334">
      <c r="A334" t="n">
        <v>333</v>
      </c>
      <c r="B334" t="n">
        <v>0.52745397480181</v>
      </c>
    </row>
    <row r="335">
      <c r="A335" t="n">
        <v>334</v>
      </c>
      <c r="B335" t="n">
        <v>0.65341092055951</v>
      </c>
    </row>
    <row r="336">
      <c r="A336" t="n">
        <v>335</v>
      </c>
      <c r="B336" t="n">
        <v>0.76246320152312</v>
      </c>
    </row>
    <row r="337">
      <c r="A337" t="n">
        <v>336</v>
      </c>
      <c r="B337" t="n">
        <v>0.70451300595648</v>
      </c>
    </row>
    <row r="338">
      <c r="A338" t="n">
        <v>337</v>
      </c>
      <c r="B338" t="n">
        <v>0.95517757432596</v>
      </c>
    </row>
    <row r="339">
      <c r="A339" t="n">
        <v>338</v>
      </c>
      <c r="B339" t="n">
        <v>0.07223941451547</v>
      </c>
    </row>
    <row r="340">
      <c r="A340" t="n">
        <v>339</v>
      </c>
      <c r="B340" t="n">
        <v>0.74269519560155</v>
      </c>
    </row>
    <row r="341">
      <c r="A341" t="n">
        <v>340</v>
      </c>
      <c r="B341" t="n">
        <v>0.76090780940569</v>
      </c>
    </row>
    <row r="342">
      <c r="A342" t="n">
        <v>341</v>
      </c>
      <c r="B342" t="n">
        <v>0.87090097126549</v>
      </c>
    </row>
    <row r="343">
      <c r="A343" t="n">
        <v>342</v>
      </c>
      <c r="B343" t="n">
        <v>0.56585167743617</v>
      </c>
    </row>
    <row r="344">
      <c r="A344" t="n">
        <v>343</v>
      </c>
      <c r="B344" t="n">
        <v>0.7619197134905999</v>
      </c>
    </row>
    <row r="345">
      <c r="A345" t="n">
        <v>344</v>
      </c>
      <c r="B345" t="n">
        <v>0.25583839079085</v>
      </c>
    </row>
    <row r="346">
      <c r="A346" t="n">
        <v>345</v>
      </c>
      <c r="B346" t="n">
        <v>0.53239222525285</v>
      </c>
    </row>
    <row r="347">
      <c r="A347" t="n">
        <v>346</v>
      </c>
      <c r="B347" t="n">
        <v>0.56618558509696</v>
      </c>
    </row>
    <row r="348">
      <c r="A348" t="n">
        <v>347</v>
      </c>
      <c r="B348" t="n">
        <v>0.01753362810139</v>
      </c>
    </row>
    <row r="349">
      <c r="A349" t="n">
        <v>348</v>
      </c>
      <c r="B349" t="n">
        <v>0.22889691025382</v>
      </c>
    </row>
    <row r="350">
      <c r="A350" t="n">
        <v>349</v>
      </c>
      <c r="B350" t="n">
        <v>0.40606714237874</v>
      </c>
    </row>
    <row r="351">
      <c r="A351" t="n">
        <v>350</v>
      </c>
      <c r="B351" t="n">
        <v>0.20351484348069</v>
      </c>
    </row>
    <row r="352">
      <c r="A352" t="n">
        <v>351</v>
      </c>
      <c r="B352" t="n">
        <v>0.37929410680387</v>
      </c>
    </row>
    <row r="353">
      <c r="A353" t="n">
        <v>352</v>
      </c>
      <c r="B353" t="n">
        <v>0.09405716378048</v>
      </c>
    </row>
    <row r="354">
      <c r="A354" t="n">
        <v>353</v>
      </c>
      <c r="B354" t="n">
        <v>0.83039269482689</v>
      </c>
    </row>
    <row r="355">
      <c r="A355" t="n">
        <v>354</v>
      </c>
      <c r="B355" t="n">
        <v>0.31889083564569</v>
      </c>
    </row>
    <row r="356">
      <c r="A356" t="n">
        <v>355</v>
      </c>
      <c r="B356" t="n">
        <v>0.57721753666305</v>
      </c>
    </row>
    <row r="357">
      <c r="A357" t="n">
        <v>356</v>
      </c>
      <c r="B357" t="n">
        <v>0.06122604354308</v>
      </c>
    </row>
    <row r="358">
      <c r="A358" t="n">
        <v>357</v>
      </c>
      <c r="B358" t="n">
        <v>0.36163538797784</v>
      </c>
    </row>
    <row r="359">
      <c r="A359" t="n">
        <v>358</v>
      </c>
      <c r="B359" t="n">
        <v>0.89088027052106</v>
      </c>
    </row>
    <row r="360">
      <c r="A360" t="n">
        <v>359</v>
      </c>
      <c r="B360" t="n">
        <v>0.21297888880209</v>
      </c>
    </row>
    <row r="361">
      <c r="A361" t="n">
        <v>360</v>
      </c>
      <c r="B361" t="n">
        <v>0.97870204625516</v>
      </c>
    </row>
    <row r="362">
      <c r="A362" t="n">
        <v>361</v>
      </c>
      <c r="B362" t="n">
        <v>0.71873393256486</v>
      </c>
    </row>
    <row r="363">
      <c r="A363" t="n">
        <v>362</v>
      </c>
      <c r="B363" t="n">
        <v>0.57463848217847</v>
      </c>
    </row>
    <row r="364">
      <c r="A364" t="n">
        <v>363</v>
      </c>
      <c r="B364" t="n">
        <v>0.97753965502777</v>
      </c>
    </row>
    <row r="365">
      <c r="A365" t="n">
        <v>364</v>
      </c>
      <c r="B365" t="n">
        <v>0.62622633384419</v>
      </c>
    </row>
    <row r="366">
      <c r="A366" t="n">
        <v>365</v>
      </c>
      <c r="B366" t="n">
        <v>0.39739470184032</v>
      </c>
    </row>
    <row r="367">
      <c r="A367" t="n">
        <v>366</v>
      </c>
      <c r="B367" t="n">
        <v>0.80011359128452</v>
      </c>
    </row>
    <row r="368">
      <c r="A368" t="n">
        <v>367</v>
      </c>
      <c r="B368" t="n">
        <v>0.89923280566616</v>
      </c>
    </row>
    <row r="369">
      <c r="A369" t="n">
        <v>368</v>
      </c>
      <c r="B369" t="n">
        <v>0.29434008695213</v>
      </c>
    </row>
    <row r="370">
      <c r="A370" t="n">
        <v>369</v>
      </c>
      <c r="B370" t="n">
        <v>0.17485783548311</v>
      </c>
    </row>
    <row r="371">
      <c r="A371" t="n">
        <v>370</v>
      </c>
      <c r="B371" t="n">
        <v>0.9880359217453</v>
      </c>
    </row>
    <row r="372">
      <c r="A372" t="n">
        <v>371</v>
      </c>
      <c r="B372" t="n">
        <v>0.40200106362227</v>
      </c>
    </row>
    <row r="373">
      <c r="A373" t="n">
        <v>372</v>
      </c>
      <c r="B373" t="n">
        <v>0.14425577917703</v>
      </c>
    </row>
    <row r="374">
      <c r="A374" t="n">
        <v>373</v>
      </c>
      <c r="B374" t="n">
        <v>0.72689828410635</v>
      </c>
    </row>
    <row r="375">
      <c r="A375" t="n">
        <v>374</v>
      </c>
      <c r="B375" t="n">
        <v>0.79863867146763</v>
      </c>
    </row>
    <row r="376">
      <c r="A376" t="n">
        <v>375</v>
      </c>
      <c r="B376" t="n">
        <v>0.58272993012018</v>
      </c>
    </row>
    <row r="377">
      <c r="A377" t="n">
        <v>376</v>
      </c>
      <c r="B377" t="n">
        <v>0.39095125999651</v>
      </c>
    </row>
    <row r="378">
      <c r="A378" t="n">
        <v>377</v>
      </c>
      <c r="B378" t="n">
        <v>0.29480604329973</v>
      </c>
    </row>
    <row r="379">
      <c r="A379" t="n">
        <v>378</v>
      </c>
      <c r="B379" t="n">
        <v>0.23186106682251</v>
      </c>
    </row>
    <row r="380">
      <c r="A380" t="n">
        <v>379</v>
      </c>
      <c r="B380" t="n">
        <v>0.34685976783911</v>
      </c>
    </row>
    <row r="381">
      <c r="A381" t="n">
        <v>380</v>
      </c>
      <c r="B381" t="n">
        <v>0.17646543038212</v>
      </c>
    </row>
    <row r="382">
      <c r="A382" t="n">
        <v>381</v>
      </c>
      <c r="B382" t="n">
        <v>0.78084621779685</v>
      </c>
    </row>
    <row r="383">
      <c r="A383" t="n">
        <v>382</v>
      </c>
      <c r="B383" t="n">
        <v>0.41303450380648</v>
      </c>
    </row>
    <row r="384">
      <c r="A384" t="n">
        <v>383</v>
      </c>
      <c r="B384" t="n">
        <v>0.76160882466246</v>
      </c>
    </row>
    <row r="385">
      <c r="A385" t="n">
        <v>384</v>
      </c>
      <c r="B385" t="n">
        <v>0.54406000021352</v>
      </c>
    </row>
    <row r="386">
      <c r="A386" t="n">
        <v>385</v>
      </c>
      <c r="B386" t="n">
        <v>0.48181322569671</v>
      </c>
    </row>
    <row r="387">
      <c r="A387" t="n">
        <v>386</v>
      </c>
      <c r="B387" t="n">
        <v>0.1461398927526</v>
      </c>
    </row>
    <row r="388">
      <c r="A388" t="n">
        <v>387</v>
      </c>
      <c r="B388" t="n">
        <v>0.65160957012814</v>
      </c>
    </row>
    <row r="389">
      <c r="A389" t="n">
        <v>388</v>
      </c>
      <c r="B389" t="n">
        <v>0.5271805650220101</v>
      </c>
    </row>
    <row r="390">
      <c r="A390" t="n">
        <v>389</v>
      </c>
      <c r="B390" t="n">
        <v>0.72655194618329</v>
      </c>
    </row>
    <row r="391">
      <c r="A391" t="n">
        <v>390</v>
      </c>
      <c r="B391" t="n">
        <v>0.86074899555569</v>
      </c>
    </row>
    <row r="392">
      <c r="A392" t="n">
        <v>391</v>
      </c>
      <c r="B392" t="n">
        <v>0.62688659479751</v>
      </c>
    </row>
    <row r="393">
      <c r="A393" t="n">
        <v>392</v>
      </c>
      <c r="B393" t="n">
        <v>0.55876956731106</v>
      </c>
    </row>
    <row r="394">
      <c r="A394" t="n">
        <v>393</v>
      </c>
      <c r="B394" t="n">
        <v>0.79497746598578</v>
      </c>
    </row>
    <row r="395">
      <c r="A395" t="n">
        <v>394</v>
      </c>
      <c r="B395" t="n">
        <v>0.57333792657475</v>
      </c>
    </row>
    <row r="396">
      <c r="A396" t="n">
        <v>395</v>
      </c>
      <c r="B396" t="n">
        <v>0.27457007105257</v>
      </c>
    </row>
    <row r="397">
      <c r="A397" t="n">
        <v>396</v>
      </c>
      <c r="B397" t="n">
        <v>0.79424844510911</v>
      </c>
    </row>
    <row r="398">
      <c r="A398" t="n">
        <v>397</v>
      </c>
      <c r="B398" t="n">
        <v>0.41248464067002</v>
      </c>
    </row>
    <row r="399">
      <c r="A399" t="n">
        <v>398</v>
      </c>
      <c r="B399" t="n">
        <v>0.25485820294779</v>
      </c>
    </row>
    <row r="400">
      <c r="A400" t="n">
        <v>399</v>
      </c>
      <c r="B400" t="n">
        <v>0.41938683354658</v>
      </c>
    </row>
    <row r="401">
      <c r="A401" t="n">
        <v>400</v>
      </c>
      <c r="B401" t="n">
        <v>0.94227713747137</v>
      </c>
    </row>
    <row r="402">
      <c r="A402" t="n">
        <v>401</v>
      </c>
      <c r="B402" t="n">
        <v>0.69850423208983</v>
      </c>
    </row>
    <row r="403">
      <c r="A403" t="n">
        <v>402</v>
      </c>
      <c r="B403" t="n">
        <v>0.67796125469214</v>
      </c>
    </row>
    <row r="404">
      <c r="A404" t="n">
        <v>403</v>
      </c>
      <c r="B404" t="n">
        <v>0.63092262079836</v>
      </c>
    </row>
    <row r="405">
      <c r="A405" t="n">
        <v>404</v>
      </c>
      <c r="B405" t="n">
        <v>0.17271619831243</v>
      </c>
    </row>
    <row r="406">
      <c r="A406" t="n">
        <v>405</v>
      </c>
      <c r="B406" t="n">
        <v>0.50358495945146</v>
      </c>
    </row>
    <row r="407">
      <c r="A407" t="n">
        <v>406</v>
      </c>
      <c r="B407" t="n">
        <v>0.5764677479378399</v>
      </c>
    </row>
    <row r="408">
      <c r="A408" t="n">
        <v>407</v>
      </c>
      <c r="B408" t="n">
        <v>0.20493562930541</v>
      </c>
    </row>
    <row r="409">
      <c r="A409" t="n">
        <v>408</v>
      </c>
      <c r="B409" t="n">
        <v>0.05636689621593</v>
      </c>
    </row>
    <row r="410">
      <c r="A410" t="n">
        <v>409</v>
      </c>
      <c r="B410" t="n">
        <v>0.0792401961625</v>
      </c>
    </row>
    <row r="411">
      <c r="A411" t="n">
        <v>410</v>
      </c>
      <c r="B411" t="n">
        <v>0.30434034198568</v>
      </c>
    </row>
    <row r="412">
      <c r="A412" t="n">
        <v>411</v>
      </c>
      <c r="B412" t="n">
        <v>0.56979051596064</v>
      </c>
    </row>
    <row r="413">
      <c r="A413" t="n">
        <v>412</v>
      </c>
      <c r="B413" t="n">
        <v>0.34762886402367</v>
      </c>
    </row>
    <row r="414">
      <c r="A414" t="n">
        <v>413</v>
      </c>
      <c r="B414" t="n">
        <v>0.77149483949063</v>
      </c>
    </row>
    <row r="415">
      <c r="A415" t="n">
        <v>414</v>
      </c>
      <c r="B415" t="n">
        <v>0.62880367630612</v>
      </c>
    </row>
    <row r="416">
      <c r="A416" t="n">
        <v>415</v>
      </c>
      <c r="B416" t="n">
        <v>0.36982385734731</v>
      </c>
    </row>
    <row r="417">
      <c r="A417" t="n">
        <v>416</v>
      </c>
      <c r="B417" t="n">
        <v>0.66049623211838</v>
      </c>
    </row>
    <row r="418">
      <c r="A418" t="n">
        <v>417</v>
      </c>
      <c r="B418" t="n">
        <v>0.6708853859384299</v>
      </c>
    </row>
    <row r="419">
      <c r="A419" t="n">
        <v>418</v>
      </c>
      <c r="B419" t="n">
        <v>0.27038400302884</v>
      </c>
    </row>
    <row r="420">
      <c r="A420" t="n">
        <v>419</v>
      </c>
      <c r="B420" t="n">
        <v>0.36461690182245</v>
      </c>
    </row>
    <row r="421">
      <c r="A421" t="n">
        <v>420</v>
      </c>
      <c r="B421" t="n">
        <v>0.98286225694236</v>
      </c>
    </row>
    <row r="422">
      <c r="A422" t="n">
        <v>421</v>
      </c>
      <c r="B422" t="n">
        <v>0.07652111683043</v>
      </c>
    </row>
    <row r="423">
      <c r="A423" t="n">
        <v>422</v>
      </c>
      <c r="B423" t="n">
        <v>0.46063357861935</v>
      </c>
    </row>
    <row r="424">
      <c r="A424" t="n">
        <v>423</v>
      </c>
      <c r="B424" t="n">
        <v>0.9520302150671101</v>
      </c>
    </row>
    <row r="425">
      <c r="A425" t="n">
        <v>424</v>
      </c>
      <c r="B425" t="n">
        <v>0.53204249166618</v>
      </c>
    </row>
    <row r="426">
      <c r="A426" t="n">
        <v>425</v>
      </c>
      <c r="B426" t="n">
        <v>0.38367252455158</v>
      </c>
    </row>
    <row r="427">
      <c r="A427" t="n">
        <v>426</v>
      </c>
      <c r="B427" t="n">
        <v>0.08315085951006999</v>
      </c>
    </row>
    <row r="428">
      <c r="A428" t="n">
        <v>427</v>
      </c>
      <c r="B428" t="n">
        <v>0.80844924196715</v>
      </c>
    </row>
    <row r="429">
      <c r="A429" t="n">
        <v>428</v>
      </c>
      <c r="B429" t="n">
        <v>0.92344975783615</v>
      </c>
    </row>
    <row r="430">
      <c r="A430" t="n">
        <v>429</v>
      </c>
      <c r="B430" t="n">
        <v>0.78558436129662</v>
      </c>
    </row>
    <row r="431">
      <c r="A431" t="n">
        <v>430</v>
      </c>
      <c r="B431" t="n">
        <v>0.56311817227189</v>
      </c>
    </row>
    <row r="432">
      <c r="A432" t="n">
        <v>431</v>
      </c>
      <c r="B432" t="n">
        <v>0.69218158503736</v>
      </c>
    </row>
    <row r="433">
      <c r="A433" t="n">
        <v>432</v>
      </c>
      <c r="B433" t="n">
        <v>0.15972178221472</v>
      </c>
    </row>
    <row r="434">
      <c r="A434" t="n">
        <v>433</v>
      </c>
      <c r="B434" t="n">
        <v>0.97979403394066</v>
      </c>
    </row>
    <row r="435">
      <c r="A435" t="n">
        <v>434</v>
      </c>
      <c r="B435" t="n">
        <v>0.36123001548877</v>
      </c>
    </row>
    <row r="436">
      <c r="A436" t="n">
        <v>435</v>
      </c>
      <c r="B436" t="n">
        <v>0.33816772685918</v>
      </c>
    </row>
    <row r="437">
      <c r="A437" t="n">
        <v>436</v>
      </c>
      <c r="B437" t="n">
        <v>0.31709054572996</v>
      </c>
    </row>
    <row r="438">
      <c r="A438" t="n">
        <v>437</v>
      </c>
      <c r="B438" t="n">
        <v>0.70919092461199</v>
      </c>
    </row>
    <row r="439">
      <c r="A439" t="n">
        <v>438</v>
      </c>
      <c r="B439" t="n">
        <v>0.15491062424454</v>
      </c>
    </row>
    <row r="440">
      <c r="A440" t="n">
        <v>439</v>
      </c>
      <c r="B440" t="n">
        <v>0.3461934671789</v>
      </c>
    </row>
    <row r="441">
      <c r="A441" t="n">
        <v>440</v>
      </c>
      <c r="B441" t="n">
        <v>0.74938517805714</v>
      </c>
    </row>
    <row r="442">
      <c r="A442" t="n">
        <v>441</v>
      </c>
      <c r="B442" t="n">
        <v>0.58637880028975</v>
      </c>
    </row>
    <row r="443">
      <c r="A443" t="n">
        <v>442</v>
      </c>
      <c r="B443" t="n">
        <v>0.74022317412304</v>
      </c>
    </row>
    <row r="444">
      <c r="A444" t="n">
        <v>443</v>
      </c>
      <c r="B444" t="n">
        <v>0.85655563248667</v>
      </c>
    </row>
    <row r="445">
      <c r="A445" t="n">
        <v>444</v>
      </c>
      <c r="B445" t="n">
        <v>0.88753787015466</v>
      </c>
    </row>
    <row r="446">
      <c r="A446" t="n">
        <v>445</v>
      </c>
      <c r="B446" t="n">
        <v>0.60715383988149</v>
      </c>
    </row>
    <row r="447">
      <c r="A447" t="n">
        <v>446</v>
      </c>
      <c r="B447" t="n">
        <v>0.01379345805846</v>
      </c>
    </row>
    <row r="448">
      <c r="A448" t="n">
        <v>447</v>
      </c>
      <c r="B448" t="n">
        <v>0.29189830754006</v>
      </c>
    </row>
    <row r="449">
      <c r="A449" t="n">
        <v>448</v>
      </c>
      <c r="B449" t="n">
        <v>0.66236511419139</v>
      </c>
    </row>
    <row r="450">
      <c r="A450" t="n">
        <v>449</v>
      </c>
      <c r="B450" t="n">
        <v>0.23662534273799</v>
      </c>
    </row>
    <row r="451">
      <c r="A451" t="n">
        <v>450</v>
      </c>
      <c r="B451" t="n">
        <v>0.8195680982324099</v>
      </c>
    </row>
    <row r="452">
      <c r="A452" t="n">
        <v>451</v>
      </c>
      <c r="B452" t="n">
        <v>0.12862274608546</v>
      </c>
    </row>
    <row r="453">
      <c r="A453" t="n">
        <v>452</v>
      </c>
      <c r="B453" t="n">
        <v>0.59663430956592</v>
      </c>
    </row>
    <row r="454">
      <c r="A454" t="n">
        <v>453</v>
      </c>
      <c r="B454" t="n">
        <v>0.20090079505698</v>
      </c>
    </row>
    <row r="455">
      <c r="A455" t="n">
        <v>454</v>
      </c>
      <c r="B455" t="n">
        <v>0.50802386919795</v>
      </c>
    </row>
    <row r="456">
      <c r="A456" t="n">
        <v>455</v>
      </c>
      <c r="B456" t="n">
        <v>0.8977867774559199</v>
      </c>
    </row>
    <row r="457">
      <c r="A457" t="n">
        <v>456</v>
      </c>
      <c r="B457" t="n">
        <v>0.55193451060361</v>
      </c>
    </row>
    <row r="458">
      <c r="A458" t="n">
        <v>457</v>
      </c>
      <c r="B458" t="n">
        <v>0.78864341790355</v>
      </c>
    </row>
    <row r="459">
      <c r="A459" t="n">
        <v>458</v>
      </c>
      <c r="B459" t="n">
        <v>0.55925593998588</v>
      </c>
    </row>
    <row r="460">
      <c r="A460" t="n">
        <v>459</v>
      </c>
      <c r="B460" t="n">
        <v>0.87474198851593</v>
      </c>
    </row>
    <row r="461">
      <c r="A461" t="n">
        <v>460</v>
      </c>
      <c r="B461" t="n">
        <v>0.1873396562611</v>
      </c>
    </row>
    <row r="462">
      <c r="A462" t="n">
        <v>461</v>
      </c>
      <c r="B462" t="n">
        <v>0.61610797220549</v>
      </c>
    </row>
    <row r="463">
      <c r="A463" t="n">
        <v>462</v>
      </c>
      <c r="B463" t="n">
        <v>0.1485918934391</v>
      </c>
    </row>
    <row r="464">
      <c r="A464" t="n">
        <v>463</v>
      </c>
      <c r="B464" t="n">
        <v>0.671637480936</v>
      </c>
    </row>
    <row r="465">
      <c r="A465" t="n">
        <v>464</v>
      </c>
      <c r="B465" t="n">
        <v>0.9108655403026999</v>
      </c>
    </row>
    <row r="466">
      <c r="A466" t="n">
        <v>465</v>
      </c>
      <c r="B466" t="n">
        <v>0.38650163062248</v>
      </c>
    </row>
    <row r="467">
      <c r="A467" t="n">
        <v>466</v>
      </c>
      <c r="B467" t="n">
        <v>0.9325894029480301</v>
      </c>
    </row>
    <row r="468">
      <c r="A468" t="n">
        <v>467</v>
      </c>
      <c r="B468" t="n">
        <v>0.37131153347476</v>
      </c>
    </row>
    <row r="469">
      <c r="A469" t="n">
        <v>468</v>
      </c>
      <c r="B469" t="n">
        <v>0.05283992475916</v>
      </c>
    </row>
    <row r="470">
      <c r="A470" t="n">
        <v>469</v>
      </c>
      <c r="B470" t="n">
        <v>0.09500603824902</v>
      </c>
    </row>
    <row r="471">
      <c r="A471" t="n">
        <v>470</v>
      </c>
      <c r="B471" t="n">
        <v>0.74235214263331</v>
      </c>
    </row>
    <row r="472">
      <c r="A472" t="n">
        <v>471</v>
      </c>
      <c r="B472" t="n">
        <v>0.05255672062985</v>
      </c>
    </row>
    <row r="473">
      <c r="A473" t="n">
        <v>472</v>
      </c>
      <c r="B473" t="n">
        <v>0.28074127491893</v>
      </c>
    </row>
    <row r="474">
      <c r="A474" t="n">
        <v>473</v>
      </c>
      <c r="B474" t="n">
        <v>0.6118766560465</v>
      </c>
    </row>
    <row r="475">
      <c r="A475" t="n">
        <v>474</v>
      </c>
      <c r="B475" t="n">
        <v>0.37504099572309</v>
      </c>
    </row>
    <row r="476">
      <c r="A476" t="n">
        <v>475</v>
      </c>
      <c r="B476" t="n">
        <v>0.78820196464572</v>
      </c>
    </row>
    <row r="477">
      <c r="A477" t="n">
        <v>476</v>
      </c>
      <c r="B477" t="n">
        <v>0.18917669695449</v>
      </c>
    </row>
    <row r="478">
      <c r="A478" t="n">
        <v>477</v>
      </c>
      <c r="B478" t="n">
        <v>0.94974011676777</v>
      </c>
    </row>
    <row r="479">
      <c r="A479" t="n">
        <v>478</v>
      </c>
      <c r="B479" t="n">
        <v>0.02908374646218</v>
      </c>
    </row>
    <row r="480">
      <c r="A480" t="n">
        <v>479</v>
      </c>
      <c r="B480" t="n">
        <v>0.43673889575065</v>
      </c>
    </row>
    <row r="481">
      <c r="A481" t="n">
        <v>480</v>
      </c>
      <c r="B481" t="n">
        <v>0.3957446285869</v>
      </c>
    </row>
    <row r="482">
      <c r="A482" t="n">
        <v>481</v>
      </c>
      <c r="B482" t="n">
        <v>0.49249561944871</v>
      </c>
    </row>
    <row r="483">
      <c r="A483" t="n">
        <v>482</v>
      </c>
      <c r="B483" t="n">
        <v>0.8783681909088</v>
      </c>
    </row>
    <row r="484">
      <c r="A484" t="n">
        <v>483</v>
      </c>
      <c r="B484" t="n">
        <v>0.75191966581724</v>
      </c>
    </row>
    <row r="485">
      <c r="A485" t="n">
        <v>484</v>
      </c>
      <c r="B485" t="n">
        <v>0.23250048251222</v>
      </c>
    </row>
    <row r="486">
      <c r="A486" t="n">
        <v>485</v>
      </c>
      <c r="B486" t="n">
        <v>0.05843445353493</v>
      </c>
    </row>
    <row r="487">
      <c r="A487" t="n">
        <v>486</v>
      </c>
      <c r="B487" t="n">
        <v>0.61901918986814</v>
      </c>
    </row>
    <row r="488">
      <c r="A488" t="n">
        <v>487</v>
      </c>
      <c r="B488" t="n">
        <v>0.57563369168431</v>
      </c>
    </row>
    <row r="489">
      <c r="A489" t="n">
        <v>488</v>
      </c>
      <c r="B489" t="n">
        <v>0.46138551975605</v>
      </c>
    </row>
    <row r="490">
      <c r="A490" t="n">
        <v>489</v>
      </c>
      <c r="B490" t="n">
        <v>0.28961603143943</v>
      </c>
    </row>
    <row r="491">
      <c r="A491" t="n">
        <v>490</v>
      </c>
      <c r="B491" t="n">
        <v>0.7852186670568601</v>
      </c>
    </row>
    <row r="492">
      <c r="A492" t="n">
        <v>491</v>
      </c>
      <c r="B492" t="n">
        <v>0.33578868870581</v>
      </c>
    </row>
    <row r="493">
      <c r="A493" t="n">
        <v>492</v>
      </c>
      <c r="B493" t="n">
        <v>0.56312968107963</v>
      </c>
    </row>
    <row r="494">
      <c r="A494" t="n">
        <v>493</v>
      </c>
      <c r="B494" t="n">
        <v>0.87865257973757</v>
      </c>
    </row>
    <row r="495">
      <c r="A495" t="n">
        <v>494</v>
      </c>
      <c r="B495" t="n">
        <v>0.36342366954506</v>
      </c>
    </row>
    <row r="496">
      <c r="A496" t="n">
        <v>495</v>
      </c>
      <c r="B496" t="n">
        <v>0.76439608944014</v>
      </c>
    </row>
    <row r="497">
      <c r="A497" t="n">
        <v>496</v>
      </c>
      <c r="B497" t="n">
        <v>0.17294727936116</v>
      </c>
    </row>
    <row r="498">
      <c r="A498" t="n">
        <v>497</v>
      </c>
      <c r="B498" t="n">
        <v>0.19946190701128</v>
      </c>
    </row>
    <row r="499">
      <c r="A499" t="n">
        <v>498</v>
      </c>
      <c r="B499" t="n">
        <v>0.45204832999104</v>
      </c>
    </row>
    <row r="500">
      <c r="A500" t="n">
        <v>499</v>
      </c>
      <c r="B500" t="n">
        <v>0.95043580388287</v>
      </c>
    </row>
    <row r="501">
      <c r="A501" t="n">
        <v>500</v>
      </c>
      <c r="B501" t="n">
        <v>0.385758185447</v>
      </c>
    </row>
    <row r="502">
      <c r="A502" t="n">
        <v>501</v>
      </c>
      <c r="B502" t="n">
        <v>0.07274534002721</v>
      </c>
    </row>
    <row r="503">
      <c r="A503" t="n">
        <v>502</v>
      </c>
      <c r="B503" t="n">
        <v>0.20816567819161</v>
      </c>
    </row>
    <row r="504">
      <c r="A504" t="n">
        <v>503</v>
      </c>
      <c r="B504" t="n">
        <v>0.15828696639187</v>
      </c>
    </row>
    <row r="505">
      <c r="A505" t="n">
        <v>504</v>
      </c>
      <c r="B505" t="n">
        <v>0.36451263118209</v>
      </c>
    </row>
    <row r="506">
      <c r="A506" t="n">
        <v>505</v>
      </c>
      <c r="B506" t="n">
        <v>0.98295434596672</v>
      </c>
    </row>
    <row r="507">
      <c r="A507" t="n">
        <v>506</v>
      </c>
      <c r="B507" t="n">
        <v>0.33622342537896</v>
      </c>
    </row>
    <row r="508">
      <c r="A508" t="n">
        <v>507</v>
      </c>
      <c r="B508" t="n">
        <v>0.40345232749686</v>
      </c>
    </row>
    <row r="509">
      <c r="A509" t="n">
        <v>508</v>
      </c>
      <c r="B509" t="n">
        <v>0.96856938428272</v>
      </c>
    </row>
    <row r="510">
      <c r="A510" t="n">
        <v>509</v>
      </c>
      <c r="B510" t="n">
        <v>0.13056426354934</v>
      </c>
    </row>
    <row r="511">
      <c r="A511" t="n">
        <v>510</v>
      </c>
      <c r="B511" t="n">
        <v>0.28852323108122</v>
      </c>
    </row>
    <row r="512">
      <c r="A512" t="n">
        <v>511</v>
      </c>
      <c r="B512" t="n">
        <v>0.64950162648943</v>
      </c>
    </row>
    <row r="513">
      <c r="A513" t="n">
        <v>512</v>
      </c>
      <c r="B513" t="n">
        <v>0.99416104852137</v>
      </c>
    </row>
    <row r="514">
      <c r="A514" t="n">
        <v>513</v>
      </c>
      <c r="B514" t="n">
        <v>0.44340388494803</v>
      </c>
    </row>
    <row r="515">
      <c r="A515" t="n">
        <v>514</v>
      </c>
      <c r="B515" t="n">
        <v>0.84025475598361</v>
      </c>
    </row>
    <row r="516">
      <c r="A516" t="n">
        <v>515</v>
      </c>
      <c r="B516" t="n">
        <v>0.63678436517864</v>
      </c>
    </row>
    <row r="517">
      <c r="A517" t="n">
        <v>516</v>
      </c>
      <c r="B517" t="n">
        <v>0.31173495911895</v>
      </c>
    </row>
    <row r="518">
      <c r="A518" t="n">
        <v>517</v>
      </c>
      <c r="B518" t="n">
        <v>0.58444479408784</v>
      </c>
    </row>
    <row r="519">
      <c r="A519" t="n">
        <v>518</v>
      </c>
      <c r="B519" t="n">
        <v>0.87115134212159</v>
      </c>
    </row>
    <row r="520">
      <c r="A520" t="n">
        <v>519</v>
      </c>
      <c r="B520" t="n">
        <v>0.9494189581746501</v>
      </c>
    </row>
    <row r="521">
      <c r="A521" t="n">
        <v>520</v>
      </c>
      <c r="B521" t="n">
        <v>0.98353927056489</v>
      </c>
    </row>
    <row r="522">
      <c r="A522" t="n">
        <v>521</v>
      </c>
      <c r="B522" t="n">
        <v>0.29727474276583</v>
      </c>
    </row>
    <row r="523">
      <c r="A523" t="n">
        <v>522</v>
      </c>
      <c r="B523" t="n">
        <v>0.59210570725683</v>
      </c>
    </row>
    <row r="524">
      <c r="A524" t="n">
        <v>523</v>
      </c>
      <c r="B524" t="n">
        <v>0.84321445563019</v>
      </c>
    </row>
    <row r="525">
      <c r="A525" t="n">
        <v>524</v>
      </c>
      <c r="B525" t="n">
        <v>0.12458361428347</v>
      </c>
    </row>
    <row r="526">
      <c r="A526" t="n">
        <v>525</v>
      </c>
      <c r="B526" t="n">
        <v>0.74634232517522</v>
      </c>
    </row>
    <row r="527">
      <c r="A527" t="n">
        <v>526</v>
      </c>
      <c r="B527" t="n">
        <v>0.29236694591177</v>
      </c>
    </row>
    <row r="528">
      <c r="A528" t="n">
        <v>527</v>
      </c>
      <c r="B528" t="n">
        <v>0.75894735216366</v>
      </c>
    </row>
    <row r="529">
      <c r="A529" t="n">
        <v>528</v>
      </c>
      <c r="B529" t="n">
        <v>0.40191178363442</v>
      </c>
    </row>
    <row r="530">
      <c r="A530" t="n">
        <v>529</v>
      </c>
      <c r="B530" t="n">
        <v>0.13620518766274</v>
      </c>
    </row>
    <row r="531">
      <c r="A531" t="n">
        <v>530</v>
      </c>
      <c r="B531" t="n">
        <v>0.85537673450796</v>
      </c>
    </row>
    <row r="532">
      <c r="A532" t="n">
        <v>531</v>
      </c>
      <c r="B532" t="n">
        <v>0.5560740298328301</v>
      </c>
    </row>
    <row r="533">
      <c r="A533" t="n">
        <v>532</v>
      </c>
      <c r="B533" t="n">
        <v>0.80842590177417</v>
      </c>
    </row>
    <row r="534">
      <c r="A534" t="n">
        <v>533</v>
      </c>
      <c r="B534" t="n">
        <v>0.77997027390581</v>
      </c>
    </row>
    <row r="535">
      <c r="A535" t="n">
        <v>534</v>
      </c>
      <c r="B535" t="n">
        <v>0.21586351241099</v>
      </c>
    </row>
    <row r="536">
      <c r="A536" t="n">
        <v>535</v>
      </c>
      <c r="B536" t="n">
        <v>0.1359752285136</v>
      </c>
    </row>
    <row r="537">
      <c r="A537" t="n">
        <v>536</v>
      </c>
      <c r="B537" t="n">
        <v>0.51248763852548</v>
      </c>
    </row>
    <row r="538">
      <c r="A538" t="n">
        <v>537</v>
      </c>
      <c r="B538" t="n">
        <v>0.12211046587941</v>
      </c>
    </row>
    <row r="539">
      <c r="A539" t="n">
        <v>538</v>
      </c>
      <c r="B539" t="n">
        <v>0.87852410598405</v>
      </c>
    </row>
    <row r="540">
      <c r="A540" t="n">
        <v>539</v>
      </c>
      <c r="B540" t="n">
        <v>0.69769788217622</v>
      </c>
    </row>
    <row r="541">
      <c r="A541" t="n">
        <v>540</v>
      </c>
      <c r="B541" t="n">
        <v>0.77178349305858</v>
      </c>
    </row>
    <row r="542">
      <c r="A542" t="n">
        <v>541</v>
      </c>
      <c r="B542" t="n">
        <v>0.46839947418165</v>
      </c>
    </row>
    <row r="543">
      <c r="A543" t="n">
        <v>542</v>
      </c>
      <c r="B543" t="n">
        <v>0.87405086903189</v>
      </c>
    </row>
    <row r="544">
      <c r="A544" t="n">
        <v>543</v>
      </c>
      <c r="B544" t="n">
        <v>0.34072646304246</v>
      </c>
    </row>
    <row r="545">
      <c r="A545" t="n">
        <v>544</v>
      </c>
      <c r="B545" t="n">
        <v>0.71029793616217</v>
      </c>
    </row>
    <row r="546">
      <c r="A546" t="n">
        <v>545</v>
      </c>
      <c r="B546" t="n">
        <v>0.21486351944029</v>
      </c>
    </row>
    <row r="547">
      <c r="A547" t="n">
        <v>546</v>
      </c>
      <c r="B547" t="n">
        <v>0.72251565303188</v>
      </c>
    </row>
    <row r="548">
      <c r="A548" t="n">
        <v>547</v>
      </c>
      <c r="B548" t="n">
        <v>0.07566747720013001</v>
      </c>
    </row>
    <row r="549">
      <c r="A549" t="n">
        <v>548</v>
      </c>
      <c r="B549" t="n">
        <v>0.6744839559369999</v>
      </c>
    </row>
    <row r="550">
      <c r="A550" t="n">
        <v>549</v>
      </c>
      <c r="B550" t="n">
        <v>0.82970721444518</v>
      </c>
    </row>
    <row r="551">
      <c r="A551" t="n">
        <v>550</v>
      </c>
      <c r="B551" t="n">
        <v>0.22712910466563</v>
      </c>
    </row>
    <row r="552">
      <c r="A552" t="n">
        <v>551</v>
      </c>
      <c r="B552" t="n">
        <v>0.05422794886377</v>
      </c>
    </row>
    <row r="553">
      <c r="A553" t="n">
        <v>552</v>
      </c>
      <c r="B553" t="n">
        <v>0.97994728874125</v>
      </c>
    </row>
    <row r="554">
      <c r="A554" t="n">
        <v>553</v>
      </c>
      <c r="B554" t="n">
        <v>0.60658332247395</v>
      </c>
    </row>
    <row r="555">
      <c r="A555" t="n">
        <v>554</v>
      </c>
      <c r="B555" t="n">
        <v>0.50714701460987</v>
      </c>
    </row>
    <row r="556">
      <c r="A556" t="n">
        <v>555</v>
      </c>
      <c r="B556" t="n">
        <v>0.97748702767496</v>
      </c>
    </row>
    <row r="557">
      <c r="A557" t="n">
        <v>556</v>
      </c>
      <c r="B557" t="n">
        <v>0.40995255857795</v>
      </c>
    </row>
    <row r="558">
      <c r="A558" t="n">
        <v>557</v>
      </c>
      <c r="B558" t="n">
        <v>0.09482016847458</v>
      </c>
    </row>
    <row r="559">
      <c r="A559" t="n">
        <v>558</v>
      </c>
      <c r="B559" t="n">
        <v>0.41506522908232</v>
      </c>
    </row>
    <row r="560">
      <c r="A560" t="n">
        <v>559</v>
      </c>
      <c r="B560" t="n">
        <v>0.79025553150904</v>
      </c>
    </row>
    <row r="561">
      <c r="A561" t="n">
        <v>560</v>
      </c>
      <c r="B561" t="n">
        <v>0.23707411454944</v>
      </c>
    </row>
    <row r="562">
      <c r="A562" t="n">
        <v>561</v>
      </c>
      <c r="B562" t="n">
        <v>0.47414553094324</v>
      </c>
    </row>
    <row r="563">
      <c r="A563" t="n">
        <v>562</v>
      </c>
      <c r="B563" t="n">
        <v>0.15981061722857</v>
      </c>
    </row>
    <row r="564">
      <c r="A564" t="n">
        <v>563</v>
      </c>
      <c r="B564" t="n">
        <v>0.66287660723432</v>
      </c>
    </row>
    <row r="565">
      <c r="A565" t="n">
        <v>564</v>
      </c>
      <c r="B565" t="n">
        <v>0.45135467674937</v>
      </c>
    </row>
    <row r="566">
      <c r="A566" t="n">
        <v>565</v>
      </c>
      <c r="B566" t="n">
        <v>0.68986721062012</v>
      </c>
    </row>
    <row r="567">
      <c r="A567" t="n">
        <v>566</v>
      </c>
      <c r="B567" t="n">
        <v>0.39911404665026</v>
      </c>
    </row>
    <row r="568">
      <c r="A568" t="n">
        <v>567</v>
      </c>
      <c r="B568" t="n">
        <v>0.94644044339259</v>
      </c>
    </row>
    <row r="569">
      <c r="A569" t="n">
        <v>568</v>
      </c>
      <c r="B569" t="n">
        <v>0.40527626611115</v>
      </c>
    </row>
    <row r="570">
      <c r="A570" t="n">
        <v>569</v>
      </c>
      <c r="B570" t="n">
        <v>0.46258656798552</v>
      </c>
    </row>
    <row r="571">
      <c r="A571" t="n">
        <v>570</v>
      </c>
      <c r="B571" t="n">
        <v>0.32529043634313</v>
      </c>
    </row>
    <row r="572">
      <c r="A572" t="n">
        <v>571</v>
      </c>
      <c r="B572" t="n">
        <v>0.85673616286501</v>
      </c>
    </row>
    <row r="573">
      <c r="A573" t="n">
        <v>572</v>
      </c>
      <c r="B573" t="n">
        <v>0.01476912135117</v>
      </c>
    </row>
    <row r="574">
      <c r="A574" t="n">
        <v>573</v>
      </c>
      <c r="B574" t="n">
        <v>0.4175606235021</v>
      </c>
    </row>
    <row r="575">
      <c r="A575" t="n">
        <v>574</v>
      </c>
      <c r="B575" t="n">
        <v>0.42070858955235</v>
      </c>
    </row>
    <row r="576">
      <c r="A576" t="n">
        <v>575</v>
      </c>
      <c r="B576" t="n">
        <v>0.88247761805383</v>
      </c>
    </row>
    <row r="577">
      <c r="A577" t="n">
        <v>576</v>
      </c>
      <c r="B577" t="n">
        <v>0.51869830571826</v>
      </c>
    </row>
    <row r="578">
      <c r="A578" t="n">
        <v>577</v>
      </c>
      <c r="B578" t="n">
        <v>0.7000771788050399</v>
      </c>
    </row>
    <row r="579">
      <c r="A579" t="n">
        <v>578</v>
      </c>
      <c r="B579" t="n">
        <v>0.40198469787333</v>
      </c>
    </row>
    <row r="580">
      <c r="A580" t="n">
        <v>579</v>
      </c>
      <c r="B580" t="n">
        <v>0.85936871210277</v>
      </c>
    </row>
    <row r="581">
      <c r="A581" t="n">
        <v>580</v>
      </c>
      <c r="B581" t="n">
        <v>0.20977873108151</v>
      </c>
    </row>
    <row r="582">
      <c r="A582" t="n">
        <v>581</v>
      </c>
      <c r="B582" t="n">
        <v>0.94236630462383</v>
      </c>
    </row>
    <row r="583">
      <c r="A583" t="n">
        <v>582</v>
      </c>
      <c r="B583" t="n">
        <v>0.22119658403846</v>
      </c>
    </row>
    <row r="584">
      <c r="A584" t="n">
        <v>583</v>
      </c>
      <c r="B584" t="n">
        <v>0.03211851079505</v>
      </c>
    </row>
    <row r="585">
      <c r="A585" t="n">
        <v>584</v>
      </c>
      <c r="B585" t="n">
        <v>0.98971413000011</v>
      </c>
    </row>
    <row r="586">
      <c r="A586" t="n">
        <v>585</v>
      </c>
      <c r="B586" t="n">
        <v>0.51170321321611</v>
      </c>
    </row>
    <row r="587">
      <c r="A587" t="n">
        <v>586</v>
      </c>
      <c r="B587" t="n">
        <v>0.83075246647312</v>
      </c>
    </row>
    <row r="588">
      <c r="A588" t="n">
        <v>587</v>
      </c>
      <c r="B588" t="n">
        <v>0.2759220264448</v>
      </c>
    </row>
    <row r="589">
      <c r="A589" t="n">
        <v>588</v>
      </c>
      <c r="B589" t="n">
        <v>0.32119000933526</v>
      </c>
    </row>
    <row r="590">
      <c r="A590" t="n">
        <v>589</v>
      </c>
      <c r="B590" t="n">
        <v>0.16252242936137</v>
      </c>
    </row>
    <row r="591">
      <c r="A591" t="n">
        <v>590</v>
      </c>
      <c r="B591" t="n">
        <v>0.74636717379132</v>
      </c>
    </row>
    <row r="592">
      <c r="A592" t="n">
        <v>591</v>
      </c>
      <c r="B592" t="n">
        <v>0.21627613638401</v>
      </c>
    </row>
    <row r="593">
      <c r="A593" t="n">
        <v>592</v>
      </c>
      <c r="B593" t="n">
        <v>0.6122520089304599</v>
      </c>
    </row>
    <row r="594">
      <c r="A594" t="n">
        <v>593</v>
      </c>
      <c r="B594" t="n">
        <v>0.45610634471788</v>
      </c>
    </row>
    <row r="595">
      <c r="A595" t="n">
        <v>594</v>
      </c>
      <c r="B595" t="n">
        <v>0.87481737095247</v>
      </c>
    </row>
    <row r="596">
      <c r="A596" t="n">
        <v>595</v>
      </c>
      <c r="B596" t="n">
        <v>0.16184855021832</v>
      </c>
    </row>
    <row r="597">
      <c r="A597" t="n">
        <v>596</v>
      </c>
      <c r="B597" t="n">
        <v>0.09178134973869</v>
      </c>
    </row>
    <row r="598">
      <c r="A598" t="n">
        <v>597</v>
      </c>
      <c r="B598" t="n">
        <v>0.99860433690686</v>
      </c>
    </row>
    <row r="599">
      <c r="A599" t="n">
        <v>598</v>
      </c>
      <c r="B599" t="n">
        <v>0.4605235873548</v>
      </c>
    </row>
    <row r="600">
      <c r="A600" t="n">
        <v>599</v>
      </c>
      <c r="B600" t="n">
        <v>0.60970024874319</v>
      </c>
    </row>
    <row r="601">
      <c r="A601" t="n">
        <v>600</v>
      </c>
      <c r="B601" t="n">
        <v>0.5332136407236699</v>
      </c>
    </row>
    <row r="602">
      <c r="A602" t="n">
        <v>601</v>
      </c>
      <c r="B602" t="n">
        <v>0.12925229182623</v>
      </c>
    </row>
    <row r="603">
      <c r="A603" t="n">
        <v>602</v>
      </c>
      <c r="B603" t="n">
        <v>0.93062339928774</v>
      </c>
    </row>
    <row r="604">
      <c r="A604" t="n">
        <v>603</v>
      </c>
      <c r="B604" t="n">
        <v>0.9969399862745399</v>
      </c>
    </row>
    <row r="605">
      <c r="A605" t="n">
        <v>604</v>
      </c>
      <c r="B605" t="n">
        <v>0.21661068509145</v>
      </c>
    </row>
    <row r="606">
      <c r="A606" t="n">
        <v>605</v>
      </c>
      <c r="B606" t="n">
        <v>0.5322095247137399</v>
      </c>
    </row>
    <row r="607">
      <c r="A607" t="n">
        <v>606</v>
      </c>
      <c r="B607" t="n">
        <v>0.6135969989532301</v>
      </c>
    </row>
    <row r="608">
      <c r="A608" t="n">
        <v>607</v>
      </c>
      <c r="B608" t="n">
        <v>0.34640063886493</v>
      </c>
    </row>
    <row r="609">
      <c r="A609" t="n">
        <v>608</v>
      </c>
      <c r="B609" t="n">
        <v>0.68206787222799</v>
      </c>
    </row>
    <row r="610">
      <c r="A610" t="n">
        <v>609</v>
      </c>
      <c r="B610" t="n">
        <v>0.73491108127778</v>
      </c>
    </row>
    <row r="611">
      <c r="A611" t="n">
        <v>610</v>
      </c>
      <c r="B611" t="n">
        <v>0.8084545346186</v>
      </c>
    </row>
    <row r="612">
      <c r="A612" t="n">
        <v>611</v>
      </c>
      <c r="B612" t="n">
        <v>0.74125180434144</v>
      </c>
    </row>
    <row r="613">
      <c r="A613" t="n">
        <v>612</v>
      </c>
      <c r="B613" t="n">
        <v>0.78357132743338</v>
      </c>
    </row>
    <row r="614">
      <c r="A614" t="n">
        <v>613</v>
      </c>
      <c r="B614" t="n">
        <v>0.34868306235015</v>
      </c>
    </row>
    <row r="615">
      <c r="A615" t="n">
        <v>614</v>
      </c>
      <c r="B615" t="n">
        <v>0.70371653219727</v>
      </c>
    </row>
    <row r="616">
      <c r="A616" t="n">
        <v>615</v>
      </c>
      <c r="B616" t="n">
        <v>0.85050185148895</v>
      </c>
    </row>
    <row r="617">
      <c r="A617" t="n">
        <v>616</v>
      </c>
      <c r="B617" t="n">
        <v>0.54777131908729</v>
      </c>
    </row>
    <row r="618">
      <c r="A618" t="n">
        <v>617</v>
      </c>
      <c r="B618" t="n">
        <v>0.7836914076275699</v>
      </c>
    </row>
    <row r="619">
      <c r="A619" t="n">
        <v>618</v>
      </c>
      <c r="B619" t="n">
        <v>0.05871566456081</v>
      </c>
    </row>
    <row r="620">
      <c r="A620" t="n">
        <v>619</v>
      </c>
      <c r="B620" t="n">
        <v>0.05912077171483</v>
      </c>
    </row>
    <row r="621">
      <c r="A621" t="n">
        <v>620</v>
      </c>
      <c r="B621" t="n">
        <v>0.4775779404149</v>
      </c>
    </row>
    <row r="622">
      <c r="A622" t="n">
        <v>621</v>
      </c>
      <c r="B622" t="n">
        <v>0.56287118785766</v>
      </c>
    </row>
    <row r="623">
      <c r="A623" t="n">
        <v>622</v>
      </c>
      <c r="B623" t="n">
        <v>0.39874408079333</v>
      </c>
    </row>
    <row r="624">
      <c r="A624" t="n">
        <v>623</v>
      </c>
      <c r="B624" t="n">
        <v>0.08342308197011</v>
      </c>
    </row>
    <row r="625">
      <c r="A625" t="n">
        <v>624</v>
      </c>
      <c r="B625" t="n">
        <v>0.9548193928818099</v>
      </c>
    </row>
    <row r="626">
      <c r="A626" t="n">
        <v>625</v>
      </c>
      <c r="B626" t="n">
        <v>0.99948213195122</v>
      </c>
    </row>
    <row r="627">
      <c r="A627" t="n">
        <v>626</v>
      </c>
      <c r="B627" t="n">
        <v>0.90357007524593</v>
      </c>
    </row>
    <row r="628">
      <c r="A628" t="n">
        <v>627</v>
      </c>
      <c r="B628" t="n">
        <v>0.41534120490796</v>
      </c>
    </row>
    <row r="629">
      <c r="A629" t="n">
        <v>628</v>
      </c>
      <c r="B629" t="n">
        <v>0.82644047251305</v>
      </c>
    </row>
    <row r="630">
      <c r="A630" t="n">
        <v>629</v>
      </c>
      <c r="B630" t="n">
        <v>0.11308243105914</v>
      </c>
    </row>
    <row r="631">
      <c r="A631" t="n">
        <v>630</v>
      </c>
      <c r="B631" t="n">
        <v>0.59548209356542</v>
      </c>
    </row>
    <row r="632">
      <c r="A632" t="n">
        <v>631</v>
      </c>
      <c r="B632" t="n">
        <v>0.36034320305429</v>
      </c>
    </row>
    <row r="633">
      <c r="A633" t="n">
        <v>632</v>
      </c>
      <c r="B633" t="n">
        <v>0.74908922218725</v>
      </c>
    </row>
    <row r="634">
      <c r="A634" t="n">
        <v>633</v>
      </c>
      <c r="B634" t="n">
        <v>0.95215130067196</v>
      </c>
    </row>
    <row r="635">
      <c r="A635" t="n">
        <v>634</v>
      </c>
      <c r="B635" t="n">
        <v>0.47110155841299</v>
      </c>
    </row>
    <row r="636">
      <c r="A636" t="n">
        <v>635</v>
      </c>
      <c r="B636" t="n">
        <v>0.29661970645971</v>
      </c>
    </row>
    <row r="637">
      <c r="A637" t="n">
        <v>636</v>
      </c>
      <c r="B637" t="n">
        <v>0.07280336946361</v>
      </c>
    </row>
    <row r="638">
      <c r="A638" t="n">
        <v>637</v>
      </c>
      <c r="B638" t="n">
        <v>0.05037281571581</v>
      </c>
    </row>
    <row r="639">
      <c r="A639" t="n">
        <v>638</v>
      </c>
      <c r="B639" t="n">
        <v>0.86619284754265</v>
      </c>
    </row>
    <row r="640">
      <c r="A640" t="n">
        <v>639</v>
      </c>
      <c r="B640" t="n">
        <v>0.83489835565705</v>
      </c>
    </row>
    <row r="641">
      <c r="A641" t="n">
        <v>640</v>
      </c>
      <c r="B641" t="n">
        <v>0.67894050128766</v>
      </c>
    </row>
    <row r="642">
      <c r="A642" t="n">
        <v>641</v>
      </c>
      <c r="B642" t="n">
        <v>0.337123380559</v>
      </c>
    </row>
    <row r="643">
      <c r="A643" t="n">
        <v>642</v>
      </c>
      <c r="B643" t="n">
        <v>0.52208875262051</v>
      </c>
    </row>
    <row r="644">
      <c r="A644" t="n">
        <v>643</v>
      </c>
      <c r="B644" t="n">
        <v>0.73581525314473</v>
      </c>
    </row>
    <row r="645">
      <c r="A645" t="n">
        <v>644</v>
      </c>
      <c r="B645" t="n">
        <v>0.16898027388346</v>
      </c>
    </row>
    <row r="646">
      <c r="A646" t="n">
        <v>645</v>
      </c>
      <c r="B646" t="n">
        <v>0.2759718747316</v>
      </c>
    </row>
    <row r="647">
      <c r="A647" t="n">
        <v>646</v>
      </c>
      <c r="B647" t="n">
        <v>0.00955214725196</v>
      </c>
    </row>
    <row r="648">
      <c r="A648" t="n">
        <v>647</v>
      </c>
      <c r="B648" t="n">
        <v>0.92363904670369</v>
      </c>
    </row>
    <row r="649">
      <c r="A649" t="n">
        <v>648</v>
      </c>
      <c r="B649" t="n">
        <v>0.50655773105969</v>
      </c>
    </row>
    <row r="650">
      <c r="A650" t="n">
        <v>649</v>
      </c>
      <c r="B650" t="n">
        <v>0.84714683330603</v>
      </c>
    </row>
    <row r="651">
      <c r="A651" t="n">
        <v>650</v>
      </c>
      <c r="B651" t="n">
        <v>0.79755419104937</v>
      </c>
    </row>
    <row r="652">
      <c r="A652" t="n">
        <v>651</v>
      </c>
      <c r="B652" t="n">
        <v>0.95504308109898</v>
      </c>
    </row>
    <row r="653">
      <c r="A653" t="n">
        <v>652</v>
      </c>
      <c r="B653" t="n">
        <v>0.3159045725812</v>
      </c>
    </row>
    <row r="654">
      <c r="A654" t="n">
        <v>653</v>
      </c>
      <c r="B654" t="n">
        <v>0.17864827601522</v>
      </c>
    </row>
    <row r="655">
      <c r="A655" t="n">
        <v>654</v>
      </c>
      <c r="B655" t="n">
        <v>0.02061615669516</v>
      </c>
    </row>
    <row r="656">
      <c r="A656" t="n">
        <v>655</v>
      </c>
      <c r="B656" t="n">
        <v>0.13761934618673</v>
      </c>
    </row>
    <row r="657">
      <c r="A657" t="n">
        <v>656</v>
      </c>
      <c r="B657" t="n">
        <v>0.67613150887103</v>
      </c>
    </row>
    <row r="658">
      <c r="A658" t="n">
        <v>657</v>
      </c>
      <c r="B658" t="n">
        <v>0.92211316188458</v>
      </c>
    </row>
    <row r="659">
      <c r="A659" t="n">
        <v>658</v>
      </c>
      <c r="B659" t="n">
        <v>0.00722512732726</v>
      </c>
    </row>
    <row r="660">
      <c r="A660" t="n">
        <v>659</v>
      </c>
      <c r="B660" t="n">
        <v>0.4753739224597</v>
      </c>
    </row>
    <row r="661">
      <c r="A661" t="n">
        <v>660</v>
      </c>
      <c r="B661" t="n">
        <v>0.48103429409092</v>
      </c>
    </row>
    <row r="662">
      <c r="A662" t="n">
        <v>661</v>
      </c>
      <c r="B662" t="n">
        <v>0.74065499359023</v>
      </c>
    </row>
    <row r="663">
      <c r="A663" t="n">
        <v>662</v>
      </c>
      <c r="B663" t="n">
        <v>0.79639262714515</v>
      </c>
    </row>
    <row r="664">
      <c r="A664" t="n">
        <v>663</v>
      </c>
      <c r="B664" t="n">
        <v>0.54644783060986</v>
      </c>
    </row>
    <row r="665">
      <c r="A665" t="n">
        <v>664</v>
      </c>
      <c r="B665" t="n">
        <v>0.07057792610628</v>
      </c>
    </row>
    <row r="666">
      <c r="A666" t="n">
        <v>665</v>
      </c>
      <c r="B666" t="n">
        <v>0.42447209598421</v>
      </c>
    </row>
    <row r="667">
      <c r="A667" t="n">
        <v>666</v>
      </c>
      <c r="B667" t="n">
        <v>0.71880120100306</v>
      </c>
    </row>
    <row r="668">
      <c r="A668" t="n">
        <v>667</v>
      </c>
      <c r="B668" t="n">
        <v>0.280291609051</v>
      </c>
    </row>
    <row r="669">
      <c r="A669" t="n">
        <v>668</v>
      </c>
      <c r="B669" t="n">
        <v>0.51786737566893</v>
      </c>
    </row>
    <row r="670">
      <c r="A670" t="n">
        <v>669</v>
      </c>
      <c r="B670" t="n">
        <v>0.17083070404969</v>
      </c>
    </row>
    <row r="671">
      <c r="A671" t="n">
        <v>670</v>
      </c>
      <c r="B671" t="n">
        <v>0.57306458751155</v>
      </c>
    </row>
    <row r="672">
      <c r="A672" t="n">
        <v>671</v>
      </c>
      <c r="B672" t="n">
        <v>0.12467507555686</v>
      </c>
    </row>
    <row r="673">
      <c r="A673" t="n">
        <v>672</v>
      </c>
      <c r="B673" t="n">
        <v>0.72991533957364</v>
      </c>
    </row>
    <row r="674">
      <c r="A674" t="n">
        <v>673</v>
      </c>
      <c r="B674" t="n">
        <v>0.24645826920833</v>
      </c>
    </row>
    <row r="675">
      <c r="A675" t="n">
        <v>674</v>
      </c>
      <c r="B675" t="n">
        <v>0.14764739994243</v>
      </c>
    </row>
    <row r="676">
      <c r="A676" t="n">
        <v>675</v>
      </c>
      <c r="B676" t="n">
        <v>0.85802770679419</v>
      </c>
    </row>
    <row r="677">
      <c r="A677" t="n">
        <v>676</v>
      </c>
      <c r="B677" t="n">
        <v>0.19883866701362</v>
      </c>
    </row>
    <row r="678">
      <c r="A678" t="n">
        <v>677</v>
      </c>
      <c r="B678" t="n">
        <v>0.50204652987406</v>
      </c>
    </row>
    <row r="679">
      <c r="A679" t="n">
        <v>678</v>
      </c>
      <c r="B679" t="n">
        <v>0.31735125970769</v>
      </c>
    </row>
    <row r="680">
      <c r="A680" t="n">
        <v>679</v>
      </c>
      <c r="B680" t="n">
        <v>0.19321206593532</v>
      </c>
    </row>
    <row r="681">
      <c r="A681" t="n">
        <v>680</v>
      </c>
      <c r="B681" t="n">
        <v>0.04715044300232</v>
      </c>
    </row>
    <row r="682">
      <c r="A682" t="n">
        <v>681</v>
      </c>
      <c r="B682" t="n">
        <v>0.60223125955412</v>
      </c>
    </row>
    <row r="683">
      <c r="A683" t="n">
        <v>682</v>
      </c>
      <c r="B683" t="n">
        <v>0.17671846817534</v>
      </c>
    </row>
    <row r="684">
      <c r="A684" t="n">
        <v>683</v>
      </c>
      <c r="B684" t="n">
        <v>0.13399848909893</v>
      </c>
    </row>
    <row r="685">
      <c r="A685" t="n">
        <v>684</v>
      </c>
      <c r="B685" t="n">
        <v>0.8626120015292</v>
      </c>
    </row>
    <row r="686">
      <c r="A686" t="n">
        <v>685</v>
      </c>
      <c r="B686" t="n">
        <v>0.73060465633758</v>
      </c>
    </row>
    <row r="687">
      <c r="A687" t="n">
        <v>686</v>
      </c>
      <c r="B687" t="n">
        <v>0.43771152626145</v>
      </c>
    </row>
    <row r="688">
      <c r="A688" t="n">
        <v>687</v>
      </c>
      <c r="B688" t="n">
        <v>0.47640708636837</v>
      </c>
    </row>
    <row r="689">
      <c r="A689" t="n">
        <v>688</v>
      </c>
      <c r="B689" t="n">
        <v>0.6732680990469599</v>
      </c>
    </row>
    <row r="690">
      <c r="A690" t="n">
        <v>689</v>
      </c>
      <c r="B690" t="n">
        <v>0.06383134090402</v>
      </c>
    </row>
    <row r="691">
      <c r="A691" t="n">
        <v>690</v>
      </c>
      <c r="B691" t="n">
        <v>0.96042013931223</v>
      </c>
    </row>
    <row r="692">
      <c r="A692" t="n">
        <v>691</v>
      </c>
      <c r="B692" t="n">
        <v>0.12041914100247</v>
      </c>
    </row>
    <row r="693">
      <c r="A693" t="n">
        <v>692</v>
      </c>
      <c r="B693" t="n">
        <v>0.1566109722064</v>
      </c>
    </row>
    <row r="694">
      <c r="A694" t="n">
        <v>693</v>
      </c>
      <c r="B694" t="n">
        <v>0.81676763673249</v>
      </c>
    </row>
    <row r="695">
      <c r="A695" t="n">
        <v>694</v>
      </c>
      <c r="B695" t="n">
        <v>0.85692867586641</v>
      </c>
    </row>
    <row r="696">
      <c r="A696" t="n">
        <v>695</v>
      </c>
      <c r="B696" t="n">
        <v>0.32990191875252</v>
      </c>
    </row>
    <row r="697">
      <c r="A697" t="n">
        <v>696</v>
      </c>
      <c r="B697" t="n">
        <v>0.84822273516168</v>
      </c>
    </row>
    <row r="698">
      <c r="A698" t="n">
        <v>697</v>
      </c>
      <c r="B698" t="n">
        <v>0.9535400378746201</v>
      </c>
    </row>
    <row r="699">
      <c r="A699" t="n">
        <v>698</v>
      </c>
      <c r="B699" t="n">
        <v>0.8137833416863099</v>
      </c>
    </row>
    <row r="700">
      <c r="A700" t="n">
        <v>699</v>
      </c>
      <c r="B700" t="n">
        <v>0.85974078381448</v>
      </c>
    </row>
    <row r="701">
      <c r="A701" t="n">
        <v>700</v>
      </c>
      <c r="B701" t="n">
        <v>0.06671052660104</v>
      </c>
    </row>
    <row r="702">
      <c r="A702" t="n">
        <v>701</v>
      </c>
      <c r="B702" t="n">
        <v>0.73894371122452</v>
      </c>
    </row>
    <row r="703">
      <c r="A703" t="n">
        <v>702</v>
      </c>
      <c r="B703" t="n">
        <v>0.5354226975474899</v>
      </c>
    </row>
    <row r="704">
      <c r="A704" t="n">
        <v>703</v>
      </c>
      <c r="B704" t="n">
        <v>0.6341518198766301</v>
      </c>
    </row>
    <row r="705">
      <c r="A705" t="n">
        <v>704</v>
      </c>
      <c r="B705" t="n">
        <v>0.02137332467033</v>
      </c>
    </row>
    <row r="706">
      <c r="A706" t="n">
        <v>705</v>
      </c>
      <c r="B706" t="n">
        <v>0.33016939835819</v>
      </c>
    </row>
    <row r="707">
      <c r="A707" t="n">
        <v>706</v>
      </c>
      <c r="B707" t="n">
        <v>0.09887665451847</v>
      </c>
    </row>
    <row r="708">
      <c r="A708" t="n">
        <v>707</v>
      </c>
      <c r="B708" t="n">
        <v>0.57527926487625</v>
      </c>
    </row>
    <row r="709">
      <c r="A709" t="n">
        <v>708</v>
      </c>
      <c r="B709" t="n">
        <v>0.80440369840889</v>
      </c>
    </row>
    <row r="710">
      <c r="A710" t="n">
        <v>709</v>
      </c>
      <c r="B710" t="n">
        <v>0.63596887072762</v>
      </c>
    </row>
    <row r="711">
      <c r="A711" t="n">
        <v>710</v>
      </c>
      <c r="B711" t="n">
        <v>0.20936071947605</v>
      </c>
    </row>
    <row r="712">
      <c r="A712" t="n">
        <v>711</v>
      </c>
      <c r="B712" t="n">
        <v>0.3231685547783</v>
      </c>
    </row>
    <row r="713">
      <c r="A713" t="n">
        <v>712</v>
      </c>
      <c r="B713" t="n">
        <v>0.01292378004237</v>
      </c>
    </row>
    <row r="714">
      <c r="A714" t="n">
        <v>713</v>
      </c>
      <c r="B714" t="n">
        <v>0.17303427585816</v>
      </c>
    </row>
    <row r="715">
      <c r="A715" t="n">
        <v>714</v>
      </c>
      <c r="B715" t="n">
        <v>0.1485818988085</v>
      </c>
    </row>
    <row r="716">
      <c r="A716" t="n">
        <v>715</v>
      </c>
      <c r="B716" t="n">
        <v>0.36468026890587</v>
      </c>
    </row>
    <row r="717">
      <c r="A717" t="n">
        <v>716</v>
      </c>
      <c r="B717" t="n">
        <v>0.62684151212883</v>
      </c>
    </row>
    <row r="718">
      <c r="A718" t="n">
        <v>717</v>
      </c>
      <c r="B718" t="n">
        <v>0.52467438435627</v>
      </c>
    </row>
    <row r="719">
      <c r="A719" t="n">
        <v>718</v>
      </c>
      <c r="B719" t="n">
        <v>0.58850302848673</v>
      </c>
    </row>
    <row r="720">
      <c r="A720" t="n">
        <v>719</v>
      </c>
      <c r="B720" t="n">
        <v>0.75296899922714</v>
      </c>
    </row>
    <row r="721">
      <c r="A721" t="n">
        <v>720</v>
      </c>
      <c r="B721" t="n">
        <v>0.06411596875304</v>
      </c>
    </row>
    <row r="722">
      <c r="A722" t="n">
        <v>721</v>
      </c>
      <c r="B722" t="n">
        <v>0.12279575383924</v>
      </c>
    </row>
    <row r="723">
      <c r="A723" t="n">
        <v>722</v>
      </c>
      <c r="B723" t="n">
        <v>0.48894093645576</v>
      </c>
    </row>
    <row r="724">
      <c r="A724" t="n">
        <v>723</v>
      </c>
      <c r="B724" t="n">
        <v>0.77240107925096</v>
      </c>
    </row>
    <row r="725">
      <c r="A725" t="n">
        <v>724</v>
      </c>
      <c r="B725" t="n">
        <v>0.48431357102247</v>
      </c>
    </row>
    <row r="726">
      <c r="A726" t="n">
        <v>725</v>
      </c>
      <c r="B726" t="n">
        <v>0.10104443775154</v>
      </c>
    </row>
    <row r="727">
      <c r="A727" t="n">
        <v>726</v>
      </c>
      <c r="B727" t="n">
        <v>0.96307271192044</v>
      </c>
    </row>
    <row r="728">
      <c r="A728" t="n">
        <v>727</v>
      </c>
      <c r="B728" t="n">
        <v>0.05597400786235</v>
      </c>
    </row>
    <row r="729">
      <c r="A729" t="n">
        <v>728</v>
      </c>
      <c r="B729" t="n">
        <v>0.24672221344525</v>
      </c>
    </row>
    <row r="730">
      <c r="A730" t="n">
        <v>729</v>
      </c>
      <c r="B730" t="n">
        <v>0.20692713069321</v>
      </c>
    </row>
    <row r="731">
      <c r="A731" t="n">
        <v>730</v>
      </c>
      <c r="B731" t="n">
        <v>0.22854734561006</v>
      </c>
    </row>
    <row r="732">
      <c r="A732" t="n">
        <v>731</v>
      </c>
      <c r="B732" t="n">
        <v>0.75149163790113</v>
      </c>
    </row>
    <row r="733">
      <c r="A733" t="n">
        <v>732</v>
      </c>
      <c r="B733" t="n">
        <v>0.24118580359658</v>
      </c>
    </row>
    <row r="734">
      <c r="A734" t="n">
        <v>733</v>
      </c>
      <c r="B734" t="n">
        <v>0.48675821764249</v>
      </c>
    </row>
    <row r="735">
      <c r="A735" t="n">
        <v>734</v>
      </c>
      <c r="B735" t="n">
        <v>0.80581385393598</v>
      </c>
    </row>
    <row r="736">
      <c r="A736" t="n">
        <v>735</v>
      </c>
      <c r="B736" t="n">
        <v>0.79409167901589</v>
      </c>
    </row>
    <row r="737">
      <c r="A737" t="n">
        <v>736</v>
      </c>
      <c r="B737" t="n">
        <v>0.5058266296628799</v>
      </c>
    </row>
    <row r="738">
      <c r="A738" t="n">
        <v>737</v>
      </c>
      <c r="B738" t="n">
        <v>0.44460752609584</v>
      </c>
    </row>
    <row r="739">
      <c r="A739" t="n">
        <v>738</v>
      </c>
      <c r="B739" t="n">
        <v>0.9039936984842299</v>
      </c>
    </row>
    <row r="740">
      <c r="A740" t="n">
        <v>739</v>
      </c>
      <c r="B740" t="n">
        <v>0.30157222630514</v>
      </c>
    </row>
    <row r="741">
      <c r="A741" t="n">
        <v>740</v>
      </c>
      <c r="B741" t="n">
        <v>0.9369408943214</v>
      </c>
    </row>
    <row r="742">
      <c r="A742" t="n">
        <v>741</v>
      </c>
      <c r="B742" t="n">
        <v>0.35531078533441</v>
      </c>
    </row>
    <row r="743">
      <c r="A743" t="n">
        <v>742</v>
      </c>
      <c r="B743" t="n">
        <v>0.77426627733001</v>
      </c>
    </row>
    <row r="744">
      <c r="A744" t="n">
        <v>743</v>
      </c>
      <c r="B744" t="n">
        <v>0.36872469057047</v>
      </c>
    </row>
    <row r="745">
      <c r="A745" t="n">
        <v>744</v>
      </c>
      <c r="B745" t="n">
        <v>0.44779580896277</v>
      </c>
    </row>
    <row r="746">
      <c r="A746" t="n">
        <v>745</v>
      </c>
      <c r="B746" t="n">
        <v>0.11982417053131</v>
      </c>
    </row>
    <row r="747">
      <c r="A747" t="n">
        <v>746</v>
      </c>
      <c r="B747" t="n">
        <v>0.0190387562221</v>
      </c>
    </row>
    <row r="748">
      <c r="A748" t="n">
        <v>747</v>
      </c>
      <c r="B748" t="n">
        <v>0.10185263699854</v>
      </c>
    </row>
    <row r="749">
      <c r="A749" t="n">
        <v>748</v>
      </c>
      <c r="B749" t="n">
        <v>0.20579266617957</v>
      </c>
    </row>
    <row r="750">
      <c r="A750" t="n">
        <v>749</v>
      </c>
      <c r="B750" t="n">
        <v>0.19221529812708</v>
      </c>
    </row>
    <row r="751">
      <c r="A751" t="n">
        <v>750</v>
      </c>
      <c r="B751" t="n">
        <v>0.7318023308395299</v>
      </c>
    </row>
    <row r="752">
      <c r="A752" t="n">
        <v>751</v>
      </c>
      <c r="B752" t="n">
        <v>0.72450706647275</v>
      </c>
    </row>
    <row r="753">
      <c r="A753" t="n">
        <v>752</v>
      </c>
      <c r="B753" t="n">
        <v>0.22201267065842</v>
      </c>
    </row>
    <row r="754">
      <c r="A754" t="n">
        <v>753</v>
      </c>
      <c r="B754" t="n">
        <v>0.42819626689427</v>
      </c>
    </row>
    <row r="755">
      <c r="A755" t="n">
        <v>754</v>
      </c>
      <c r="B755" t="n">
        <v>0.07873324710433</v>
      </c>
    </row>
    <row r="756">
      <c r="A756" t="n">
        <v>755</v>
      </c>
      <c r="B756" t="n">
        <v>0.48037310553854</v>
      </c>
    </row>
    <row r="757">
      <c r="A757" t="n">
        <v>756</v>
      </c>
      <c r="B757" t="n">
        <v>0.01403375777506</v>
      </c>
    </row>
    <row r="758">
      <c r="A758" t="n">
        <v>757</v>
      </c>
      <c r="B758" t="n">
        <v>0.73727549448265</v>
      </c>
    </row>
    <row r="759">
      <c r="A759" t="n">
        <v>758</v>
      </c>
      <c r="B759" t="n">
        <v>0.24352042994927</v>
      </c>
    </row>
    <row r="760">
      <c r="A760" t="n">
        <v>759</v>
      </c>
      <c r="B760" t="n">
        <v>0.65641301620246</v>
      </c>
    </row>
    <row r="761">
      <c r="A761" t="n">
        <v>760</v>
      </c>
      <c r="B761" t="n">
        <v>0.4075956025649</v>
      </c>
    </row>
    <row r="762">
      <c r="A762" t="n">
        <v>761</v>
      </c>
      <c r="B762" t="n">
        <v>0.52144795625794</v>
      </c>
    </row>
    <row r="763">
      <c r="A763" t="n">
        <v>762</v>
      </c>
      <c r="B763" t="n">
        <v>0.00162362101942</v>
      </c>
    </row>
    <row r="764">
      <c r="A764" t="n">
        <v>763</v>
      </c>
      <c r="B764" t="n">
        <v>0.81597099517856</v>
      </c>
    </row>
    <row r="765">
      <c r="A765" t="n">
        <v>764</v>
      </c>
      <c r="B765" t="n">
        <v>0.73544562605982</v>
      </c>
    </row>
    <row r="766">
      <c r="A766" t="n">
        <v>765</v>
      </c>
      <c r="B766" t="n">
        <v>0.7362423789317299</v>
      </c>
    </row>
    <row r="767">
      <c r="A767" t="n">
        <v>766</v>
      </c>
      <c r="B767" t="n">
        <v>0.00565786304725</v>
      </c>
    </row>
    <row r="768">
      <c r="A768" t="n">
        <v>767</v>
      </c>
      <c r="B768" t="n">
        <v>0.08488964136778</v>
      </c>
    </row>
    <row r="769">
      <c r="A769" t="n">
        <v>768</v>
      </c>
      <c r="B769" t="n">
        <v>0.35979755401938</v>
      </c>
    </row>
    <row r="770">
      <c r="A770" t="n">
        <v>769</v>
      </c>
      <c r="B770" t="n">
        <v>0.92350405149439</v>
      </c>
    </row>
    <row r="771">
      <c r="A771" t="n">
        <v>770</v>
      </c>
      <c r="B771" t="n">
        <v>0.98045580282324</v>
      </c>
    </row>
    <row r="772">
      <c r="A772" t="n">
        <v>771</v>
      </c>
      <c r="B772" t="n">
        <v>0.5062889195295101</v>
      </c>
    </row>
    <row r="773">
      <c r="A773" t="n">
        <v>772</v>
      </c>
      <c r="B773" t="n">
        <v>0.51498680758358</v>
      </c>
    </row>
    <row r="774">
      <c r="A774" t="n">
        <v>773</v>
      </c>
      <c r="B774" t="n">
        <v>0.29126232420521</v>
      </c>
    </row>
    <row r="775">
      <c r="A775" t="n">
        <v>774</v>
      </c>
      <c r="B775" t="n">
        <v>0.176477339898</v>
      </c>
    </row>
    <row r="776">
      <c r="A776" t="n">
        <v>775</v>
      </c>
      <c r="B776" t="n">
        <v>0.5720979653656501</v>
      </c>
    </row>
    <row r="777">
      <c r="A777" t="n">
        <v>776</v>
      </c>
      <c r="B777" t="n">
        <v>0.8237152497771399</v>
      </c>
    </row>
    <row r="778">
      <c r="A778" t="n">
        <v>777</v>
      </c>
      <c r="B778" t="n">
        <v>0.04860870408112</v>
      </c>
    </row>
    <row r="779">
      <c r="A779" t="n">
        <v>778</v>
      </c>
      <c r="B779" t="n">
        <v>0.23205846382299</v>
      </c>
    </row>
    <row r="780">
      <c r="A780" t="n">
        <v>779</v>
      </c>
      <c r="B780" t="n">
        <v>0.05153744658467</v>
      </c>
    </row>
    <row r="781">
      <c r="A781" t="n">
        <v>780</v>
      </c>
      <c r="B781" t="n">
        <v>0.41616156274322</v>
      </c>
    </row>
    <row r="782">
      <c r="A782" t="n">
        <v>781</v>
      </c>
      <c r="B782" t="n">
        <v>0.5729506332067</v>
      </c>
    </row>
    <row r="783">
      <c r="A783" t="n">
        <v>782</v>
      </c>
      <c r="B783" t="n">
        <v>0.06625596087238</v>
      </c>
    </row>
    <row r="784">
      <c r="A784" t="n">
        <v>783</v>
      </c>
      <c r="B784" t="n">
        <v>0.24766500539487</v>
      </c>
    </row>
    <row r="785">
      <c r="A785" t="n">
        <v>784</v>
      </c>
      <c r="B785" t="n">
        <v>0.9204687348437</v>
      </c>
    </row>
    <row r="786">
      <c r="A786" t="n">
        <v>785</v>
      </c>
      <c r="B786" t="n">
        <v>0.21824485685134</v>
      </c>
    </row>
    <row r="787">
      <c r="A787" t="n">
        <v>786</v>
      </c>
      <c r="B787" t="n">
        <v>0.79512468698883</v>
      </c>
    </row>
    <row r="788">
      <c r="A788" t="n">
        <v>787</v>
      </c>
      <c r="B788" t="n">
        <v>0.91833385769793</v>
      </c>
    </row>
    <row r="789">
      <c r="A789" t="n">
        <v>788</v>
      </c>
      <c r="B789" t="n">
        <v>0.05699170741088</v>
      </c>
    </row>
    <row r="790">
      <c r="A790" t="n">
        <v>789</v>
      </c>
      <c r="B790" t="n">
        <v>0.87728777420186</v>
      </c>
    </row>
    <row r="791">
      <c r="A791" t="n">
        <v>790</v>
      </c>
      <c r="B791" t="n">
        <v>0.91417018481927</v>
      </c>
    </row>
    <row r="792">
      <c r="A792" t="n">
        <v>791</v>
      </c>
      <c r="B792" t="n">
        <v>0.08533082331723001</v>
      </c>
    </row>
    <row r="793">
      <c r="A793" t="n">
        <v>792</v>
      </c>
      <c r="B793" t="n">
        <v>0.08133119776118</v>
      </c>
    </row>
    <row r="794">
      <c r="A794" t="n">
        <v>793</v>
      </c>
      <c r="B794" t="n">
        <v>0.17065764122777</v>
      </c>
    </row>
    <row r="795">
      <c r="A795" t="n">
        <v>794</v>
      </c>
      <c r="B795" t="n">
        <v>0.85987994125204</v>
      </c>
    </row>
    <row r="796">
      <c r="A796" t="n">
        <v>795</v>
      </c>
      <c r="B796" t="n">
        <v>0.06335477818892001</v>
      </c>
    </row>
    <row r="797">
      <c r="A797" t="n">
        <v>796</v>
      </c>
      <c r="B797" t="n">
        <v>0.51066124200379</v>
      </c>
    </row>
    <row r="798">
      <c r="A798" t="n">
        <v>797</v>
      </c>
      <c r="B798" t="n">
        <v>0.99025336420013</v>
      </c>
    </row>
    <row r="799">
      <c r="A799" t="n">
        <v>798</v>
      </c>
      <c r="B799" t="n">
        <v>0.74208985078103</v>
      </c>
    </row>
    <row r="800">
      <c r="A800" t="n">
        <v>799</v>
      </c>
      <c r="B800" t="n">
        <v>0.49463646427351</v>
      </c>
    </row>
    <row r="801">
      <c r="A801" t="n">
        <v>800</v>
      </c>
      <c r="B801" t="n">
        <v>0.66315414629349</v>
      </c>
    </row>
    <row r="802">
      <c r="A802" t="n">
        <v>801</v>
      </c>
      <c r="B802" t="n">
        <v>0.34942072447355</v>
      </c>
    </row>
    <row r="803">
      <c r="A803" t="n">
        <v>802</v>
      </c>
      <c r="B803" t="n">
        <v>0.9068818216954601</v>
      </c>
    </row>
    <row r="804">
      <c r="A804" t="n">
        <v>803</v>
      </c>
      <c r="B804" t="n">
        <v>0.64109126623021</v>
      </c>
    </row>
    <row r="805">
      <c r="A805" t="n">
        <v>804</v>
      </c>
      <c r="B805" t="n">
        <v>0.84771436366188</v>
      </c>
    </row>
    <row r="806">
      <c r="A806" t="n">
        <v>805</v>
      </c>
      <c r="B806" t="n">
        <v>0.70388204036525</v>
      </c>
    </row>
    <row r="807">
      <c r="A807" t="n">
        <v>806</v>
      </c>
      <c r="B807" t="n">
        <v>0.82907279166187</v>
      </c>
    </row>
    <row r="808">
      <c r="A808" t="n">
        <v>807</v>
      </c>
      <c r="B808" t="n">
        <v>0.59982808939395</v>
      </c>
    </row>
    <row r="809">
      <c r="A809" t="n">
        <v>808</v>
      </c>
      <c r="B809" t="n">
        <v>0.27831489012871</v>
      </c>
    </row>
    <row r="810">
      <c r="A810" t="n">
        <v>809</v>
      </c>
      <c r="B810" t="n">
        <v>0.82079219653007</v>
      </c>
    </row>
    <row r="811">
      <c r="A811" t="n">
        <v>810</v>
      </c>
      <c r="B811" t="n">
        <v>0.2193965211547</v>
      </c>
    </row>
    <row r="812">
      <c r="A812" t="n">
        <v>811</v>
      </c>
      <c r="B812" t="n">
        <v>0.8795043209552</v>
      </c>
    </row>
    <row r="813">
      <c r="A813" t="n">
        <v>812</v>
      </c>
      <c r="B813" t="n">
        <v>0.21506809095224</v>
      </c>
    </row>
    <row r="814">
      <c r="A814" t="n">
        <v>813</v>
      </c>
      <c r="B814" t="n">
        <v>0.42478837607142</v>
      </c>
    </row>
    <row r="815">
      <c r="A815" t="n">
        <v>814</v>
      </c>
      <c r="B815" t="n">
        <v>0.49495987244822</v>
      </c>
    </row>
    <row r="816">
      <c r="A816" t="n">
        <v>815</v>
      </c>
      <c r="B816" t="n">
        <v>0.20299268436999</v>
      </c>
    </row>
    <row r="817">
      <c r="A817" t="n">
        <v>816</v>
      </c>
      <c r="B817" t="n">
        <v>0.49963701404014</v>
      </c>
    </row>
    <row r="818">
      <c r="A818" t="n">
        <v>817</v>
      </c>
      <c r="B818" t="n">
        <v>0.11589738115574</v>
      </c>
    </row>
    <row r="819">
      <c r="A819" t="n">
        <v>818</v>
      </c>
      <c r="B819" t="n">
        <v>0.63592377594155</v>
      </c>
    </row>
    <row r="820">
      <c r="A820" t="n">
        <v>819</v>
      </c>
      <c r="B820" t="n">
        <v>0.82527878970114</v>
      </c>
    </row>
    <row r="821">
      <c r="A821" t="n">
        <v>820</v>
      </c>
      <c r="B821" t="n">
        <v>0.92458845499442</v>
      </c>
    </row>
    <row r="822">
      <c r="A822" t="n">
        <v>821</v>
      </c>
      <c r="B822" t="n">
        <v>0.29971417698978</v>
      </c>
    </row>
    <row r="823">
      <c r="A823" t="n">
        <v>822</v>
      </c>
      <c r="B823" t="n">
        <v>0.12586126508258</v>
      </c>
    </row>
    <row r="824">
      <c r="A824" t="n">
        <v>823</v>
      </c>
      <c r="B824" t="n">
        <v>0.83876677258569</v>
      </c>
    </row>
    <row r="825">
      <c r="A825" t="n">
        <v>824</v>
      </c>
      <c r="B825" t="n">
        <v>0.50581751485813</v>
      </c>
    </row>
    <row r="826">
      <c r="A826" t="n">
        <v>825</v>
      </c>
      <c r="B826" t="n">
        <v>0.19314926481228</v>
      </c>
    </row>
    <row r="827">
      <c r="A827" t="n">
        <v>826</v>
      </c>
      <c r="B827" t="n">
        <v>0.18882716654338</v>
      </c>
    </row>
    <row r="828">
      <c r="A828" t="n">
        <v>827</v>
      </c>
      <c r="B828" t="n">
        <v>0.78017359810961</v>
      </c>
    </row>
    <row r="829">
      <c r="A829" t="n">
        <v>828</v>
      </c>
      <c r="B829" t="n">
        <v>0.15156135664124</v>
      </c>
    </row>
    <row r="830">
      <c r="A830" t="n">
        <v>829</v>
      </c>
      <c r="B830" t="n">
        <v>0.9827484436489</v>
      </c>
    </row>
    <row r="831">
      <c r="A831" t="n">
        <v>830</v>
      </c>
      <c r="B831" t="n">
        <v>0.72931567726363</v>
      </c>
    </row>
    <row r="832">
      <c r="A832" t="n">
        <v>831</v>
      </c>
      <c r="B832" t="n">
        <v>0.89088355482221</v>
      </c>
    </row>
    <row r="833">
      <c r="A833" t="n">
        <v>832</v>
      </c>
      <c r="B833" t="n">
        <v>0.07429369291618999</v>
      </c>
    </row>
    <row r="834">
      <c r="A834" t="n">
        <v>833</v>
      </c>
      <c r="B834" t="n">
        <v>0.79256946226305</v>
      </c>
    </row>
    <row r="835">
      <c r="A835" t="n">
        <v>834</v>
      </c>
      <c r="B835" t="n">
        <v>0.92326775715702</v>
      </c>
    </row>
    <row r="836">
      <c r="A836" t="n">
        <v>835</v>
      </c>
      <c r="B836" t="n">
        <v>0.25393485058402</v>
      </c>
    </row>
    <row r="837">
      <c r="A837" t="n">
        <v>836</v>
      </c>
      <c r="B837" t="n">
        <v>0.09370043187917</v>
      </c>
    </row>
    <row r="838">
      <c r="A838" t="n">
        <v>837</v>
      </c>
      <c r="B838" t="n">
        <v>0.94654839891955</v>
      </c>
    </row>
    <row r="839">
      <c r="A839" t="n">
        <v>838</v>
      </c>
      <c r="B839" t="n">
        <v>0.59973631472709</v>
      </c>
    </row>
    <row r="840">
      <c r="A840" t="n">
        <v>839</v>
      </c>
      <c r="B840" t="n">
        <v>0.40696232040597</v>
      </c>
    </row>
    <row r="841">
      <c r="A841" t="n">
        <v>840</v>
      </c>
      <c r="B841" t="n">
        <v>0.03073314436509</v>
      </c>
    </row>
    <row r="842">
      <c r="A842" t="n">
        <v>841</v>
      </c>
      <c r="B842" t="n">
        <v>0.56157124220038</v>
      </c>
    </row>
    <row r="843">
      <c r="A843" t="n">
        <v>842</v>
      </c>
      <c r="B843" t="n">
        <v>0.30381793273212</v>
      </c>
    </row>
    <row r="844">
      <c r="A844" t="n">
        <v>843</v>
      </c>
      <c r="B844" t="n">
        <v>0.68330840813937</v>
      </c>
    </row>
    <row r="845">
      <c r="A845" t="n">
        <v>844</v>
      </c>
      <c r="B845" t="n">
        <v>0.93002481588358</v>
      </c>
    </row>
    <row r="846">
      <c r="A846" t="n">
        <v>845</v>
      </c>
      <c r="B846" t="n">
        <v>0.32713374404207</v>
      </c>
    </row>
    <row r="847">
      <c r="A847" t="n">
        <v>846</v>
      </c>
      <c r="B847" t="n">
        <v>0.12404251160873</v>
      </c>
    </row>
    <row r="848">
      <c r="A848" t="n">
        <v>847</v>
      </c>
      <c r="B848" t="n">
        <v>0.77919714298415</v>
      </c>
    </row>
    <row r="849">
      <c r="A849" t="n">
        <v>848</v>
      </c>
      <c r="B849" t="n">
        <v>0.53825266056985</v>
      </c>
    </row>
    <row r="850">
      <c r="A850" t="n">
        <v>849</v>
      </c>
      <c r="B850" t="n">
        <v>0.40285201980704</v>
      </c>
    </row>
    <row r="851">
      <c r="A851" t="n">
        <v>850</v>
      </c>
      <c r="B851" t="n">
        <v>0.09310371698538</v>
      </c>
    </row>
    <row r="852">
      <c r="A852" t="n">
        <v>851</v>
      </c>
      <c r="B852" t="n">
        <v>0.6906699478227299</v>
      </c>
    </row>
    <row r="853">
      <c r="A853" t="n">
        <v>852</v>
      </c>
      <c r="B853" t="n">
        <v>0.38178399947826</v>
      </c>
    </row>
    <row r="854">
      <c r="A854" t="n">
        <v>853</v>
      </c>
      <c r="B854" t="n">
        <v>0.58490685680476</v>
      </c>
    </row>
    <row r="855">
      <c r="A855" t="n">
        <v>854</v>
      </c>
      <c r="B855" t="n">
        <v>0.50290453758427</v>
      </c>
    </row>
    <row r="856">
      <c r="A856" t="n">
        <v>855</v>
      </c>
      <c r="B856" t="n">
        <v>0.07487001817815001</v>
      </c>
    </row>
    <row r="857">
      <c r="A857" t="n">
        <v>856</v>
      </c>
      <c r="B857" t="n">
        <v>0.31403682690621</v>
      </c>
    </row>
    <row r="858">
      <c r="A858" t="n">
        <v>857</v>
      </c>
      <c r="B858" t="n">
        <v>0.82086774454775</v>
      </c>
    </row>
    <row r="859">
      <c r="A859" t="n">
        <v>858</v>
      </c>
      <c r="B859" t="n">
        <v>0.1169135539942</v>
      </c>
    </row>
    <row r="860">
      <c r="A860" t="n">
        <v>859</v>
      </c>
      <c r="B860" t="n">
        <v>0.084635369812</v>
      </c>
    </row>
    <row r="861">
      <c r="A861" t="n">
        <v>860</v>
      </c>
      <c r="B861" t="n">
        <v>0.07669262885234</v>
      </c>
    </row>
    <row r="862">
      <c r="A862" t="n">
        <v>861</v>
      </c>
      <c r="B862" t="n">
        <v>0.44230832809535</v>
      </c>
    </row>
    <row r="863">
      <c r="A863" t="n">
        <v>862</v>
      </c>
      <c r="B863" t="n">
        <v>0.9629840671511199</v>
      </c>
    </row>
    <row r="864">
      <c r="A864" t="n">
        <v>863</v>
      </c>
      <c r="B864" t="n">
        <v>0.54220089997549</v>
      </c>
    </row>
    <row r="865">
      <c r="A865" t="n">
        <v>864</v>
      </c>
      <c r="B865" t="n">
        <v>0.94328296089978</v>
      </c>
    </row>
    <row r="866">
      <c r="A866" t="n">
        <v>865</v>
      </c>
      <c r="B866" t="n">
        <v>0.4385000368523</v>
      </c>
    </row>
    <row r="867">
      <c r="A867" t="n">
        <v>866</v>
      </c>
      <c r="B867" t="n">
        <v>0.89814579077283</v>
      </c>
    </row>
    <row r="868">
      <c r="A868" t="n">
        <v>867</v>
      </c>
      <c r="B868" t="n">
        <v>0.42509149224356</v>
      </c>
    </row>
    <row r="869">
      <c r="A869" t="n">
        <v>868</v>
      </c>
      <c r="B869" t="n">
        <v>0.81486431551782</v>
      </c>
    </row>
    <row r="870">
      <c r="A870" t="n">
        <v>869</v>
      </c>
      <c r="B870" t="n">
        <v>0.96449248683041</v>
      </c>
    </row>
    <row r="871">
      <c r="A871" t="n">
        <v>870</v>
      </c>
      <c r="B871" t="n">
        <v>0.34052074143491</v>
      </c>
    </row>
    <row r="872">
      <c r="A872" t="n">
        <v>871</v>
      </c>
      <c r="B872" t="n">
        <v>0.0872416990481</v>
      </c>
    </row>
    <row r="873">
      <c r="A873" t="n">
        <v>872</v>
      </c>
      <c r="B873" t="n">
        <v>0.78355295257534</v>
      </c>
    </row>
    <row r="874">
      <c r="A874" t="n">
        <v>873</v>
      </c>
      <c r="B874" t="n">
        <v>0.2260279009881</v>
      </c>
    </row>
    <row r="875">
      <c r="A875" t="n">
        <v>874</v>
      </c>
      <c r="B875" t="n">
        <v>0.87642277219539</v>
      </c>
    </row>
    <row r="876">
      <c r="A876" t="n">
        <v>875</v>
      </c>
      <c r="B876" t="n">
        <v>0.43700760727227</v>
      </c>
    </row>
    <row r="877">
      <c r="A877" t="n">
        <v>876</v>
      </c>
      <c r="B877" t="n">
        <v>0.25933205886891</v>
      </c>
    </row>
    <row r="878">
      <c r="A878" t="n">
        <v>877</v>
      </c>
      <c r="B878" t="n">
        <v>0.5390800139023</v>
      </c>
    </row>
    <row r="879">
      <c r="A879" t="n">
        <v>878</v>
      </c>
      <c r="B879" t="n">
        <v>0.15332654510868</v>
      </c>
    </row>
    <row r="880">
      <c r="A880" t="n">
        <v>879</v>
      </c>
      <c r="B880" t="n">
        <v>0.01286317419228</v>
      </c>
    </row>
    <row r="881">
      <c r="A881" t="n">
        <v>880</v>
      </c>
      <c r="B881" t="n">
        <v>0.05424073690903</v>
      </c>
    </row>
    <row r="882">
      <c r="A882" t="n">
        <v>881</v>
      </c>
      <c r="B882" t="n">
        <v>0.25163571991268</v>
      </c>
    </row>
    <row r="883">
      <c r="A883" t="n">
        <v>882</v>
      </c>
      <c r="B883" t="n">
        <v>0.11008197273118</v>
      </c>
    </row>
    <row r="884">
      <c r="A884" t="n">
        <v>883</v>
      </c>
      <c r="B884" t="n">
        <v>0.93463873672061</v>
      </c>
    </row>
    <row r="885">
      <c r="A885" t="n">
        <v>884</v>
      </c>
      <c r="B885" t="n">
        <v>0.05361122442424</v>
      </c>
    </row>
    <row r="886">
      <c r="A886" t="n">
        <v>885</v>
      </c>
      <c r="B886" t="n">
        <v>0.07774554810705001</v>
      </c>
    </row>
    <row r="887">
      <c r="A887" t="n">
        <v>886</v>
      </c>
      <c r="B887" t="n">
        <v>0.15568028907677</v>
      </c>
    </row>
    <row r="888">
      <c r="A888" t="n">
        <v>887</v>
      </c>
      <c r="B888" t="n">
        <v>0.49266797452243</v>
      </c>
    </row>
    <row r="889">
      <c r="A889" t="n">
        <v>888</v>
      </c>
      <c r="B889" t="n">
        <v>0.90834972854186</v>
      </c>
    </row>
    <row r="890">
      <c r="A890" t="n">
        <v>889</v>
      </c>
      <c r="B890" t="n">
        <v>0.56751209743853</v>
      </c>
    </row>
    <row r="891">
      <c r="A891" t="n">
        <v>890</v>
      </c>
      <c r="B891" t="n">
        <v>0.98085867807489</v>
      </c>
    </row>
    <row r="892">
      <c r="A892" t="n">
        <v>891</v>
      </c>
      <c r="B892" t="n">
        <v>0.85466676273751</v>
      </c>
    </row>
    <row r="893">
      <c r="A893" t="n">
        <v>892</v>
      </c>
      <c r="B893" t="n">
        <v>0.84000275981991</v>
      </c>
    </row>
    <row r="894">
      <c r="A894" t="n">
        <v>893</v>
      </c>
      <c r="B894" t="n">
        <v>0.76979873516112</v>
      </c>
    </row>
    <row r="895">
      <c r="A895" t="n">
        <v>894</v>
      </c>
      <c r="B895" t="n">
        <v>0.06033127471954</v>
      </c>
    </row>
    <row r="896">
      <c r="A896" t="n">
        <v>895</v>
      </c>
      <c r="B896" t="n">
        <v>0.21850997971269</v>
      </c>
    </row>
    <row r="897">
      <c r="A897" t="n">
        <v>896</v>
      </c>
      <c r="B897" t="n">
        <v>0.40728700785538</v>
      </c>
    </row>
    <row r="898">
      <c r="A898" t="n">
        <v>897</v>
      </c>
      <c r="B898" t="n">
        <v>0.42911138409497</v>
      </c>
    </row>
    <row r="899">
      <c r="A899" t="n">
        <v>898</v>
      </c>
      <c r="B899" t="n">
        <v>0.42550946142771</v>
      </c>
    </row>
    <row r="900">
      <c r="A900" t="n">
        <v>899</v>
      </c>
      <c r="B900" t="n">
        <v>0.96023982130255</v>
      </c>
    </row>
    <row r="901">
      <c r="A901" t="n">
        <v>900</v>
      </c>
      <c r="B901" t="n">
        <v>0.4265454599622</v>
      </c>
    </row>
    <row r="902">
      <c r="A902" t="n">
        <v>901</v>
      </c>
      <c r="B902" t="n">
        <v>0.40934287825896</v>
      </c>
    </row>
    <row r="903">
      <c r="A903" t="n">
        <v>902</v>
      </c>
      <c r="B903" t="n">
        <v>0.44665618582712</v>
      </c>
    </row>
    <row r="904">
      <c r="A904" t="n">
        <v>903</v>
      </c>
      <c r="B904" t="n">
        <v>0.95782666494705</v>
      </c>
    </row>
    <row r="905">
      <c r="A905" t="n">
        <v>904</v>
      </c>
      <c r="B905" t="n">
        <v>0.74659154828</v>
      </c>
    </row>
    <row r="906">
      <c r="A906" t="n">
        <v>905</v>
      </c>
      <c r="B906" t="n">
        <v>0.39310714315028</v>
      </c>
    </row>
    <row r="907">
      <c r="A907" t="n">
        <v>906</v>
      </c>
      <c r="B907" t="n">
        <v>0.06283326493491</v>
      </c>
    </row>
    <row r="908">
      <c r="A908" t="n">
        <v>907</v>
      </c>
      <c r="B908" t="n">
        <v>0.15912224439523</v>
      </c>
    </row>
    <row r="909">
      <c r="A909" t="n">
        <v>908</v>
      </c>
      <c r="B909" t="n">
        <v>0.41539382694317</v>
      </c>
    </row>
    <row r="910">
      <c r="A910" t="n">
        <v>909</v>
      </c>
      <c r="B910" t="n">
        <v>0.73939104253097</v>
      </c>
    </row>
    <row r="911">
      <c r="A911" t="n">
        <v>910</v>
      </c>
      <c r="B911" t="n">
        <v>0.37598237468019</v>
      </c>
    </row>
    <row r="912">
      <c r="A912" t="n">
        <v>911</v>
      </c>
      <c r="B912" t="n">
        <v>0.52633222525232</v>
      </c>
    </row>
    <row r="913">
      <c r="A913" t="n">
        <v>912</v>
      </c>
      <c r="B913" t="n">
        <v>0.02979925115263</v>
      </c>
    </row>
    <row r="914">
      <c r="A914" t="n">
        <v>913</v>
      </c>
      <c r="B914" t="n">
        <v>0.64431297069088</v>
      </c>
    </row>
    <row r="915">
      <c r="A915" t="n">
        <v>914</v>
      </c>
      <c r="B915" t="n">
        <v>0.51690942263756</v>
      </c>
    </row>
    <row r="916">
      <c r="A916" t="n">
        <v>915</v>
      </c>
      <c r="B916" t="n">
        <v>0.78815297426582</v>
      </c>
    </row>
    <row r="917">
      <c r="A917" t="n">
        <v>916</v>
      </c>
      <c r="B917" t="n">
        <v>0.98451435113774</v>
      </c>
    </row>
    <row r="918">
      <c r="A918" t="n">
        <v>917</v>
      </c>
      <c r="B918" t="n">
        <v>0.52356822536545</v>
      </c>
    </row>
    <row r="919">
      <c r="A919" t="n">
        <v>918</v>
      </c>
      <c r="B919" t="n">
        <v>0.71598537289568</v>
      </c>
    </row>
    <row r="920">
      <c r="A920" t="n">
        <v>919</v>
      </c>
      <c r="B920" t="n">
        <v>0.45726861015884</v>
      </c>
    </row>
    <row r="921">
      <c r="A921" t="n">
        <v>920</v>
      </c>
      <c r="B921" t="n">
        <v>0.79018388043721</v>
      </c>
    </row>
    <row r="922">
      <c r="A922" t="n">
        <v>921</v>
      </c>
      <c r="B922" t="n">
        <v>0.43538125507426</v>
      </c>
    </row>
    <row r="923">
      <c r="A923" t="n">
        <v>922</v>
      </c>
      <c r="B923" t="n">
        <v>0.98739621474513</v>
      </c>
    </row>
    <row r="924">
      <c r="A924" t="n">
        <v>923</v>
      </c>
      <c r="B924" t="n">
        <v>0.50767812180093</v>
      </c>
    </row>
    <row r="925">
      <c r="A925" t="n">
        <v>924</v>
      </c>
      <c r="B925" t="n">
        <v>0.67823248105929</v>
      </c>
    </row>
    <row r="926">
      <c r="A926" t="n">
        <v>925</v>
      </c>
      <c r="B926" t="n">
        <v>0.53324533750327</v>
      </c>
    </row>
    <row r="927">
      <c r="A927" t="n">
        <v>926</v>
      </c>
      <c r="B927" t="n">
        <v>0.88725566643679</v>
      </c>
    </row>
    <row r="928">
      <c r="A928" t="n">
        <v>927</v>
      </c>
      <c r="B928" t="n">
        <v>0.38768773627316</v>
      </c>
    </row>
    <row r="929">
      <c r="A929" t="n">
        <v>928</v>
      </c>
      <c r="B929" t="n">
        <v>0.64629566752748</v>
      </c>
    </row>
    <row r="930">
      <c r="A930" t="n">
        <v>929</v>
      </c>
      <c r="B930" t="n">
        <v>0.70512366653307</v>
      </c>
    </row>
    <row r="931">
      <c r="A931" t="n">
        <v>930</v>
      </c>
      <c r="B931" t="n">
        <v>0.1001110453308</v>
      </c>
    </row>
    <row r="932">
      <c r="A932" t="n">
        <v>931</v>
      </c>
      <c r="B932" t="n">
        <v>0.35292307222202</v>
      </c>
    </row>
    <row r="933">
      <c r="A933" t="n">
        <v>932</v>
      </c>
      <c r="B933" t="n">
        <v>0.15497155910699</v>
      </c>
    </row>
    <row r="934">
      <c r="A934" t="n">
        <v>933</v>
      </c>
      <c r="B934" t="n">
        <v>0.5413180821447801</v>
      </c>
    </row>
    <row r="935">
      <c r="A935" t="n">
        <v>934</v>
      </c>
      <c r="B935" t="n">
        <v>0.79194534213857</v>
      </c>
    </row>
    <row r="936">
      <c r="A936" t="n">
        <v>935</v>
      </c>
      <c r="B936" t="n">
        <v>0.15444990784527</v>
      </c>
    </row>
    <row r="937">
      <c r="A937" t="n">
        <v>936</v>
      </c>
      <c r="B937" t="n">
        <v>0.64299104914795</v>
      </c>
    </row>
    <row r="938">
      <c r="A938" t="n">
        <v>937</v>
      </c>
      <c r="B938" t="n">
        <v>0.79351124144268</v>
      </c>
    </row>
    <row r="939">
      <c r="A939" t="n">
        <v>938</v>
      </c>
      <c r="B939" t="n">
        <v>0.6371091096502201</v>
      </c>
    </row>
    <row r="940">
      <c r="A940" t="n">
        <v>939</v>
      </c>
      <c r="B940" t="n">
        <v>0.2318116604353</v>
      </c>
    </row>
    <row r="941">
      <c r="A941" t="n">
        <v>940</v>
      </c>
      <c r="B941" t="n">
        <v>0.11057934944834</v>
      </c>
    </row>
    <row r="942">
      <c r="A942" t="n">
        <v>941</v>
      </c>
      <c r="B942" t="n">
        <v>0.86987934641465</v>
      </c>
    </row>
    <row r="943">
      <c r="A943" t="n">
        <v>942</v>
      </c>
      <c r="B943" t="n">
        <v>0.6634990629740301</v>
      </c>
    </row>
    <row r="944">
      <c r="A944" t="n">
        <v>943</v>
      </c>
      <c r="B944" t="n">
        <v>0.48698074399694</v>
      </c>
    </row>
    <row r="945">
      <c r="A945" t="n">
        <v>944</v>
      </c>
      <c r="B945" t="n">
        <v>0.43587678946832</v>
      </c>
    </row>
    <row r="946">
      <c r="A946" t="n">
        <v>945</v>
      </c>
      <c r="B946" t="n">
        <v>0.20251841352673</v>
      </c>
    </row>
    <row r="947">
      <c r="A947" t="n">
        <v>946</v>
      </c>
      <c r="B947" t="n">
        <v>0.6368500711970601</v>
      </c>
    </row>
    <row r="948">
      <c r="A948" t="n">
        <v>947</v>
      </c>
      <c r="B948" t="n">
        <v>0.6183046911357</v>
      </c>
    </row>
    <row r="949">
      <c r="A949" t="n">
        <v>948</v>
      </c>
      <c r="B949" t="n">
        <v>0.53702478790417</v>
      </c>
    </row>
    <row r="950">
      <c r="A950" t="n">
        <v>949</v>
      </c>
      <c r="B950" t="n">
        <v>0.47218709051997</v>
      </c>
    </row>
    <row r="951">
      <c r="A951" t="n">
        <v>950</v>
      </c>
      <c r="B951" t="n">
        <v>0.31883246070418</v>
      </c>
    </row>
    <row r="952">
      <c r="A952" t="n">
        <v>951</v>
      </c>
      <c r="B952" t="n">
        <v>0.61137351634545</v>
      </c>
    </row>
    <row r="953">
      <c r="A953" t="n">
        <v>952</v>
      </c>
      <c r="B953" t="n">
        <v>0.44434734519905</v>
      </c>
    </row>
    <row r="954">
      <c r="A954" t="n">
        <v>953</v>
      </c>
      <c r="B954" t="n">
        <v>0.05165003635339</v>
      </c>
    </row>
    <row r="955">
      <c r="A955" t="n">
        <v>954</v>
      </c>
      <c r="B955" t="n">
        <v>0.14857905396627</v>
      </c>
    </row>
    <row r="956">
      <c r="A956" t="n">
        <v>955</v>
      </c>
      <c r="B956" t="n">
        <v>0.13060338604953</v>
      </c>
    </row>
    <row r="957">
      <c r="A957" t="n">
        <v>956</v>
      </c>
      <c r="B957" t="n">
        <v>0.97507545023107</v>
      </c>
    </row>
    <row r="958">
      <c r="A958" t="n">
        <v>957</v>
      </c>
      <c r="B958" t="n">
        <v>0.45958977583305</v>
      </c>
    </row>
    <row r="959">
      <c r="A959" t="n">
        <v>958</v>
      </c>
      <c r="B959" t="n">
        <v>0.53672637380336</v>
      </c>
    </row>
    <row r="960">
      <c r="A960" t="n">
        <v>959</v>
      </c>
      <c r="B960" t="n">
        <v>0.03459266465778</v>
      </c>
    </row>
    <row r="961">
      <c r="A961" t="n">
        <v>960</v>
      </c>
      <c r="B961" t="n">
        <v>0.72604236478305</v>
      </c>
    </row>
    <row r="962">
      <c r="A962" t="n">
        <v>961</v>
      </c>
      <c r="B962" t="n">
        <v>0.80773461711376</v>
      </c>
    </row>
    <row r="963">
      <c r="A963" t="n">
        <v>962</v>
      </c>
      <c r="B963" t="n">
        <v>0.52585621563255</v>
      </c>
    </row>
    <row r="964">
      <c r="A964" t="n">
        <v>963</v>
      </c>
      <c r="B964" t="n">
        <v>0.32682763464943</v>
      </c>
    </row>
    <row r="965">
      <c r="A965" t="n">
        <v>964</v>
      </c>
      <c r="B965" t="n">
        <v>0.8169538613774699</v>
      </c>
    </row>
    <row r="966">
      <c r="A966" t="n">
        <v>965</v>
      </c>
      <c r="B966" t="n">
        <v>0.34318814672942</v>
      </c>
    </row>
    <row r="967">
      <c r="A967" t="n">
        <v>966</v>
      </c>
      <c r="B967" t="n">
        <v>0.79072571767026</v>
      </c>
    </row>
    <row r="968">
      <c r="A968" t="n">
        <v>967</v>
      </c>
      <c r="B968" t="n">
        <v>0.9747358109634</v>
      </c>
    </row>
    <row r="969">
      <c r="A969" t="n">
        <v>968</v>
      </c>
      <c r="B969" t="n">
        <v>0.32377810644021</v>
      </c>
    </row>
    <row r="970">
      <c r="A970" t="n">
        <v>969</v>
      </c>
      <c r="B970" t="n">
        <v>0.22339337937436</v>
      </c>
    </row>
    <row r="971">
      <c r="A971" t="n">
        <v>970</v>
      </c>
      <c r="B971" t="n">
        <v>0.0313262395913</v>
      </c>
    </row>
    <row r="972">
      <c r="A972" t="n">
        <v>971</v>
      </c>
      <c r="B972" t="n">
        <v>0.32187691544705</v>
      </c>
    </row>
    <row r="973">
      <c r="A973" t="n">
        <v>972</v>
      </c>
      <c r="B973" t="n">
        <v>0.41686549050575</v>
      </c>
    </row>
    <row r="974">
      <c r="A974" t="n">
        <v>973</v>
      </c>
      <c r="B974" t="n">
        <v>0.38359430176411</v>
      </c>
    </row>
    <row r="975">
      <c r="A975" t="n">
        <v>974</v>
      </c>
      <c r="B975" t="n">
        <v>0.15054015163993</v>
      </c>
    </row>
    <row r="976">
      <c r="A976" t="n">
        <v>975</v>
      </c>
      <c r="B976" t="n">
        <v>0.31277876236449</v>
      </c>
    </row>
    <row r="977">
      <c r="A977" t="n">
        <v>976</v>
      </c>
      <c r="B977" t="n">
        <v>0.30766035760418</v>
      </c>
    </row>
    <row r="978">
      <c r="A978" t="n">
        <v>977</v>
      </c>
      <c r="B978" t="n">
        <v>0.73696564513271</v>
      </c>
    </row>
    <row r="979">
      <c r="A979" t="n">
        <v>978</v>
      </c>
      <c r="B979" t="n">
        <v>0.22780402888557</v>
      </c>
    </row>
    <row r="980">
      <c r="A980" t="n">
        <v>979</v>
      </c>
      <c r="B980" t="n">
        <v>0.75014956673879</v>
      </c>
    </row>
    <row r="981">
      <c r="A981" t="n">
        <v>980</v>
      </c>
      <c r="B981" t="n">
        <v>0.55174206750906</v>
      </c>
    </row>
    <row r="982">
      <c r="A982" t="n">
        <v>981</v>
      </c>
      <c r="B982" t="n">
        <v>0.46153063146653</v>
      </c>
    </row>
    <row r="983">
      <c r="A983" t="n">
        <v>982</v>
      </c>
      <c r="B983" t="n">
        <v>0.70095666833897</v>
      </c>
    </row>
    <row r="984">
      <c r="A984" t="n">
        <v>983</v>
      </c>
      <c r="B984" t="n">
        <v>0.93159637451733</v>
      </c>
    </row>
    <row r="985">
      <c r="A985" t="n">
        <v>984</v>
      </c>
      <c r="B985" t="n">
        <v>0.57001720085246</v>
      </c>
    </row>
    <row r="986">
      <c r="A986" t="n">
        <v>985</v>
      </c>
      <c r="B986" t="n">
        <v>0.02593762639346</v>
      </c>
    </row>
    <row r="987">
      <c r="A987" t="n">
        <v>986</v>
      </c>
      <c r="B987" t="n">
        <v>0.65785637362049</v>
      </c>
    </row>
    <row r="988">
      <c r="A988" t="n">
        <v>987</v>
      </c>
      <c r="B988" t="n">
        <v>0.34279233417621</v>
      </c>
    </row>
    <row r="989">
      <c r="A989" t="n">
        <v>988</v>
      </c>
      <c r="B989" t="n">
        <v>0.46609909868376</v>
      </c>
    </row>
    <row r="990">
      <c r="A990" t="n">
        <v>989</v>
      </c>
      <c r="B990" t="n">
        <v>0.52072919295384</v>
      </c>
    </row>
    <row r="991">
      <c r="A991" t="n">
        <v>990</v>
      </c>
      <c r="B991" t="n">
        <v>0.66015297789589</v>
      </c>
    </row>
    <row r="992">
      <c r="A992" t="n">
        <v>991</v>
      </c>
      <c r="B992" t="n">
        <v>0.99592592998091</v>
      </c>
    </row>
    <row r="993">
      <c r="A993" t="n">
        <v>992</v>
      </c>
      <c r="B993" t="n">
        <v>0.06842386698506001</v>
      </c>
    </row>
    <row r="994">
      <c r="A994" t="n">
        <v>993</v>
      </c>
      <c r="B994" t="n">
        <v>0.22395523978381</v>
      </c>
    </row>
    <row r="995">
      <c r="A995" t="n">
        <v>994</v>
      </c>
      <c r="B995" t="n">
        <v>0.8337240279514599</v>
      </c>
    </row>
    <row r="996">
      <c r="A996" t="n">
        <v>995</v>
      </c>
      <c r="B996" t="n">
        <v>0.98524081692957</v>
      </c>
    </row>
    <row r="997">
      <c r="A997" t="n">
        <v>996</v>
      </c>
      <c r="B997" t="n">
        <v>0.2770996026659</v>
      </c>
    </row>
    <row r="998">
      <c r="A998" t="n">
        <v>997</v>
      </c>
      <c r="B998" t="n">
        <v>0.97546997889079</v>
      </c>
    </row>
    <row r="999">
      <c r="A999" t="n">
        <v>998</v>
      </c>
      <c r="B999" t="n">
        <v>0.42911375045941</v>
      </c>
    </row>
    <row r="1000">
      <c r="A1000" t="n">
        <v>999</v>
      </c>
      <c r="B1000" t="n">
        <v>0.51979909402816</v>
      </c>
    </row>
    <row r="1001">
      <c r="A1001" t="n">
        <v>1000</v>
      </c>
      <c r="B1001" t="n">
        <v>0.61233542245207</v>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2026-09-21T03:23:42Z</dcterms:created>
  <dcterms:modified xmlns:dcterms="http://purl.org/dc/terms/" xmlns:xsi="http://www.w3.org/2001/XMLSchema-instance" xsi:type="dcterms:W3CDTF">2026-09-21T03:23:43Z</dcterms:modified>
</cp:coreProperties>
</file>