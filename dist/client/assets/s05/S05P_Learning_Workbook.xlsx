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-CLASS_Lab Part A" sheetId="2" state="visible" r:id="rId2"/>
    <sheet xmlns:r="http://schemas.openxmlformats.org/officeDocument/2006/relationships" name="IN-CLASS_Lab Part B" sheetId="3" state="visible" r:id="rId3"/>
    <sheet xmlns:r="http://schemas.openxmlformats.org/officeDocument/2006/relationships" name="IN-CLASS_Lab Part C" sheetId="4" state="visible" r:id="rId4"/>
    <sheet xmlns:r="http://schemas.openxmlformats.org/officeDocument/2006/relationships" name="Data" sheetId="5" state="visible" r:id="rId5"/>
  </sheets>
  <definedNames>
    <definedName name="LabChoices_1">'Data'!$I$1:$I$4</definedName>
    <definedName name="LabChoices_2">'Data'!$J$1:$J$4</definedName>
    <definedName name="LabChoices_3">'Data'!$K$1:$K$4</definedName>
    <definedName name="_xlnm.Print_Area" localSheetId="0">'Start Here'!$A$1:$H$29</definedName>
    <definedName name="_xlnm.Print_Titles" localSheetId="1">'IN-CLASS_Lab Part A'!$1:$2</definedName>
    <definedName name="_xlnm.Print_Area" localSheetId="1">'IN-CLASS_Lab Part A'!$A$1:$H$34</definedName>
    <definedName name="_xlnm.Print_Titles" localSheetId="2">'IN-CLASS_Lab Part B'!$1:$2</definedName>
    <definedName name="_xlnm.Print_Area" localSheetId="2">'IN-CLASS_Lab Part B'!$A$1:$H$34</definedName>
    <definedName name="_xlnm.Print_Titles" localSheetId="3">'IN-CLASS_Lab Part C'!$1:$2</definedName>
    <definedName name="_xlnm.Print_Area" localSheetId="3">'IN-CLASS_Lab Part C'!$A$1:$H$36</definedName>
    <definedName name="_xlnm.Print_Titles" localSheetId="4">'Data'!$1:$1</definedName>
    <definedName name="_xlnm.Print_Area" localSheetId="4">'Data'!$A$1:$G$2401</definedName>
  </definedNames>
  <calcPr calcId="124519" fullCalcOnLoad="1" forceFullCalc="1" calcMode="auto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1">
    <font>
      <name val="Calibri"/>
      <family val="2"/>
      <color theme="1"/>
      <sz val="11"/>
      <scheme val="minor"/>
    </font>
    <font>
      <name val="Arial"/>
      <b val="1"/>
      <color rgb="0057068C"/>
      <sz val="17"/>
    </font>
    <font>
      <name val="Arial"/>
      <color rgb="00000000"/>
      <sz val="11"/>
    </font>
    <font>
      <name val="Arial"/>
      <i val="1"/>
      <color rgb="00777777"/>
      <sz val="11"/>
    </font>
    <font>
      <name val="Arial"/>
      <b val="1"/>
      <sz val="11"/>
    </font>
    <font>
      <name val="Arial"/>
      <sz val="11"/>
    </font>
    <font>
      <name val="Arial"/>
      <b val="1"/>
      <color rgb="0057068C"/>
      <sz val="20"/>
    </font>
    <font>
      <name val="Arial"/>
      <color rgb="00292334"/>
      <sz val="12"/>
    </font>
    <font>
      <name val="Arial"/>
      <b val="1"/>
      <color rgb="0057068C"/>
      <sz val="12"/>
    </font>
    <font>
      <name val="Arial"/>
      <i val="1"/>
      <color rgb="0066616C"/>
      <sz val="11"/>
    </font>
    <font>
      <name val="Arial"/>
      <color rgb="0057068C"/>
      <sz val="12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b/>
      <name val="Arial"/>
      <sz val="15"/>
      <color rgb="FFFFFFFF"/>
    </font>
    <font>
      <name val="Arial"/>
      <sz val="11"/>
      <color rgb="FF57068C"/>
    </font>
    <font>
      <name val="Arial"/>
      <color rgb="00000000"/>
      <sz val="13"/>
    </font>
    <font>
      <b/>
      <name val="Arial"/>
      <sz val="11"/>
      <color rgb="FF1F7A4D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  <font>
      <sz val="11"/>
      <name val="Carlito"/>
    </font>
    <font>
      <sz val="12"/>
      <color rgb="FF292334"/>
      <name val="Arial"/>
    </font>
    <font>
      <b/>
      <sz val="20"/>
      <color rgb="FF57068C"/>
      <name val="Arial"/>
    </font>
    <font>
      <b/>
      <sz val="12"/>
      <color rgb="FF57068C"/>
      <name val="Arial"/>
    </font>
    <font>
      <i/>
      <sz val="11"/>
      <color rgb="FF66616C"/>
      <name val="Arial"/>
    </font>
    <font>
      <sz val="12"/>
      <color rgb="FF57068C"/>
      <name val="Arial"/>
    </font>
    <font>
      <sz val="11"/>
      <color rgb="FF37313D"/>
      <name val="Arial"/>
    </font>
    <font>
      <b/>
      <sz val="11"/>
      <color rgb="FF57068C"/>
      <name val="Arial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  <font>
      <b/>
      <name val="Arial"/>
      <sz val="15"/>
      <color rgb="FFFFFFFF"/>
    </font>
    <font>
      <name val="Arial"/>
      <sz val="11"/>
      <color rgb="FF57068C"/>
    </font>
    <font>
      <name val="Arial"/>
      <sz val="13"/>
      <color rgb="FF57068C"/>
    </font>
    <font>
      <b/>
      <name val="Arial"/>
      <sz val="11"/>
      <color rgb="FF1F7A4D"/>
    </font>
  </fonts>
  <fills count="70">
    <fill>
      <patternFill/>
    </fill>
    <fill>
      <patternFill patternType="gray125"/>
    </fill>
    <fill>
      <patternFill patternType="solid">
        <fgColor rgb="00EDE7F6"/>
      </patternFill>
    </fill>
    <fill>
      <patternFill patternType="solid">
        <fgColor rgb="00FFF9DB"/>
      </patternFill>
    </fill>
    <fill>
      <patternFill patternType="solid">
        <fgColor rgb="00EDF4F7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EDF4F7"/>
      </patternFill>
    </fill>
    <fill>
      <patternFill patternType="solid">
        <fgColor rgb="FFF5F2F8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  <fill>
      <patternFill patternType="solid">
        <fgColor rgb="FF57068C"/>
        <bgColor indexed="64"/>
      </patternFill>
    </fill>
    <fill>
      <patternFill patternType="solid">
        <fgColor rgb="FFF3EC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3EA"/>
        <bgColor indexed="64"/>
      </patternFill>
    </fill>
    <fill>
      <patternFill patternType="solid">
        <fgColor rgb="FFFAF9FC"/>
        <bgColor indexed="64"/>
      </patternFill>
    </fill>
  </fills>
  <borders count="10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</border>
    <border>
      <left/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 style="thin">
        <color rgb="00CCCCCC"/>
      </top>
      <bottom/>
    </border>
    <border>
      <left/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/>
    </border>
    <border>
      <left/>
      <right/>
      <top/>
      <bottom/>
    </border>
    <border>
      <left/>
      <right style="thin">
        <color rgb="00CCCCCC"/>
      </right>
      <top/>
      <bottom/>
    </border>
    <border>
      <left style="thin">
        <color rgb="00CCCCCC"/>
      </left>
      <right/>
      <top/>
      <bottom style="thin">
        <color rgb="00CCCCCC"/>
      </bottom>
    </border>
    <border>
      <left/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</borders>
  <cellStyleXfs count="1">
    <xf numFmtId="0" fontId="0" fillId="0" borderId="0"/>
  </cellStyleXfs>
  <cellXfs count="617">
    <xf numFmtId="0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10" applyAlignment="1" pivotButton="0" quotePrefix="0" xfId="0">
      <alignment vertical="center" wrapText="1"/>
    </xf>
    <xf numFmtId="0" fontId="2" fillId="3" borderId="11" applyAlignment="1" pivotButton="0" quotePrefix="0" xfId="0">
      <alignment vertical="center" wrapText="1"/>
    </xf>
    <xf numFmtId="0" fontId="2" fillId="3" borderId="12" applyAlignment="1" pivotButton="0" quotePrefix="0" xfId="0">
      <alignment vertical="center" wrapText="1"/>
    </xf>
    <xf numFmtId="0" fontId="2" fillId="3" borderId="13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10" fontId="2" fillId="3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1" fillId="5" borderId="14" xfId="0"/>
    <xf numFmtId="0" fontId="12" fillId="5" borderId="14" xfId="0" applyNumberFormat="1" applyFont="1" applyFill="1" applyBorder="1"/>
    <xf numFmtId="0" fontId="12" fillId="5" borderId="14" xfId="0" applyNumberFormat="1" applyFont="1" applyFill="1" applyBorder="1" applyAlignment="1">
      <alignment wrapText="1"/>
    </xf>
    <xf numFmtId="0" fontId="12" fillId="5" borderId="14" xfId="0" applyNumberFormat="1" applyFont="1" applyFill="1" applyBorder="1" applyAlignment="1">
      <alignment vertical="center" wrapText="1"/>
    </xf>
    <xf numFmtId="0" fontId="13" fillId="5" borderId="14" xfId="0" applyNumberFormat="1" applyFont="1" applyFill="1" applyBorder="1" applyAlignment="1">
      <alignment vertical="center" wrapText="1"/>
    </xf>
    <xf numFmtId="0" fontId="14" fillId="5" borderId="14" xfId="0" applyNumberFormat="1" applyFont="1" applyFill="1" applyBorder="1" applyAlignment="1">
      <alignment vertical="center" wrapText="1"/>
    </xf>
    <xf numFmtId="0" fontId="12" fillId="7" borderId="14" xfId="0" applyNumberFormat="1" applyFont="1" applyFill="1" applyBorder="1" applyAlignment="1">
      <alignment vertical="center" wrapText="1"/>
    </xf>
    <xf numFmtId="0" fontId="12" fillId="7" borderId="15" xfId="0" applyNumberFormat="1" applyFont="1" applyFill="1" applyBorder="1" applyAlignment="1">
      <alignment vertical="center" wrapText="1"/>
    </xf>
    <xf numFmtId="0" fontId="12" fillId="7" borderId="16" xfId="0" applyNumberFormat="1" applyFont="1" applyFill="1" applyBorder="1" applyAlignment="1">
      <alignment vertical="center" wrapText="1"/>
    </xf>
    <xf numFmtId="0" fontId="12" fillId="7" borderId="17" xfId="0" applyNumberFormat="1" applyFont="1" applyFill="1" applyBorder="1" applyAlignment="1">
      <alignment vertical="center" wrapText="1"/>
    </xf>
    <xf numFmtId="0" fontId="15" fillId="5" borderId="14" xfId="0" applyNumberFormat="1" applyFont="1" applyFill="1" applyBorder="1" applyAlignment="1">
      <alignment vertical="center" wrapText="1"/>
    </xf>
    <xf numFmtId="0" fontId="12" fillId="8" borderId="14" xfId="0" applyNumberFormat="1" applyFont="1" applyFill="1" applyBorder="1" applyAlignment="1">
      <alignment vertical="center" wrapText="1"/>
    </xf>
    <xf numFmtId="0" fontId="16" fillId="5" borderId="14" xfId="0" applyNumberFormat="1" applyFont="1" applyFill="1" applyBorder="1" applyAlignment="1">
      <alignment vertical="center" wrapText="1"/>
    </xf>
    <xf numFmtId="0" fontId="17" fillId="5" borderId="14" xfId="0" applyNumberFormat="1" applyFont="1" applyFill="1" applyBorder="1"/>
    <xf numFmtId="0" fontId="17" fillId="5" borderId="14" xfId="0" applyNumberFormat="1" applyFont="1" applyFill="1" applyBorder="1" applyAlignment="1">
      <alignment wrapText="1"/>
    </xf>
    <xf numFmtId="0" fontId="17" fillId="5" borderId="14" xfId="0" applyNumberFormat="1" applyFont="1" applyFill="1" applyBorder="1" applyAlignment="1">
      <alignment vertical="center" wrapText="1"/>
    </xf>
    <xf numFmtId="0" fontId="18" fillId="5" borderId="14" xfId="0" applyNumberFormat="1" applyFont="1" applyFill="1" applyBorder="1" applyAlignment="1">
      <alignment vertical="center" wrapText="1"/>
    </xf>
    <xf numFmtId="0" fontId="11" fillId="5" borderId="18" xfId="0" applyNumberFormat="1" applyFont="1" applyFill="1" applyBorder="1"/>
    <xf numFmtId="0" fontId="11" fillId="5" borderId="15" xfId="0" applyNumberFormat="1" applyFont="1" applyFill="1" applyBorder="1"/>
    <xf numFmtId="0" fontId="11" fillId="5" borderId="16" xfId="0" applyNumberFormat="1" applyFont="1" applyFill="1" applyBorder="1"/>
    <xf numFmtId="0" fontId="11" fillId="5" borderId="17" xfId="0" applyNumberFormat="1" applyFont="1" applyFill="1" applyBorder="1"/>
    <xf numFmtId="0" fontId="11" fillId="5" borderId="19" xfId="0" applyNumberFormat="1" applyFont="1" applyFill="1" applyBorder="1"/>
    <xf numFmtId="0" fontId="11" fillId="5" borderId="20" xfId="0" applyNumberFormat="1" applyFont="1" applyFill="1" applyBorder="1"/>
    <xf numFmtId="0" fontId="11" fillId="5" borderId="21" xfId="0" applyNumberFormat="1" applyFont="1" applyFill="1" applyBorder="1"/>
    <xf numFmtId="0" fontId="11" fillId="5" borderId="22" xfId="0" applyNumberFormat="1" applyFont="1" applyFill="1" applyBorder="1"/>
    <xf numFmtId="0" fontId="11" fillId="5" borderId="14" xfId="0" applyNumberFormat="1" applyFont="1" applyFill="1" applyBorder="1"/>
    <xf numFmtId="0" fontId="11" fillId="5" borderId="23" xfId="0" applyNumberFormat="1" applyFont="1" applyFill="1" applyBorder="1"/>
    <xf numFmtId="0" fontId="11" fillId="5" borderId="24" xfId="0" applyNumberFormat="1" applyFont="1" applyFill="1" applyBorder="1"/>
    <xf numFmtId="0" fontId="11" fillId="5" borderId="25" xfId="0" applyNumberFormat="1" applyFont="1" applyFill="1" applyBorder="1"/>
    <xf numFmtId="0" fontId="11" fillId="5" borderId="26" xfId="0" applyNumberFormat="1" applyFont="1" applyFill="1" applyBorder="1"/>
    <xf numFmtId="0" fontId="17" fillId="9" borderId="14" xfId="0" applyNumberFormat="1" applyFont="1" applyFill="1" applyBorder="1" applyAlignment="1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3" borderId="8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10" applyAlignment="1" pivotButton="0" quotePrefix="0" xfId="0">
      <alignment vertical="center" wrapText="1"/>
    </xf>
    <xf numFmtId="0" fontId="2" fillId="3" borderId="11" applyAlignment="1" pivotButton="0" quotePrefix="0" xfId="0">
      <alignment vertical="center" wrapText="1"/>
    </xf>
    <xf numFmtId="0" fontId="2" fillId="3" borderId="12" applyAlignment="1" pivotButton="0" quotePrefix="0" xfId="0">
      <alignment vertical="center" wrapText="1"/>
    </xf>
    <xf numFmtId="0" fontId="2" fillId="3" borderId="13" applyAlignment="1" pivotButton="0" quotePrefix="0" xfId="0">
      <alignment vertical="center" wrapText="1"/>
    </xf>
    <xf numFmtId="1" fontId="2" fillId="3" borderId="18" applyAlignment="1" pivotButton="0" quotePrefix="0" xfId="0">
      <alignment vertical="center" wrapText="1"/>
    </xf>
    <xf numFmtId="164" fontId="2" fillId="3" borderId="18" applyAlignment="1" pivotButton="0" quotePrefix="0" xfId="0">
      <alignment vertical="center" wrapText="1"/>
    </xf>
    <xf numFmtId="0" fontId="2" fillId="3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3" fillId="3" borderId="19" applyAlignment="1" pivotButton="0" quotePrefix="0" xfId="0">
      <alignment vertical="center" wrapText="1"/>
    </xf>
    <xf numFmtId="0" fontId="2" fillId="3" borderId="20" applyAlignment="1" pivotButton="0" quotePrefix="0" xfId="0">
      <alignment vertical="center" wrapText="1"/>
    </xf>
    <xf numFmtId="0" fontId="2" fillId="3" borderId="21" applyAlignment="1" pivotButton="0" quotePrefix="0" xfId="0">
      <alignment vertical="center" wrapText="1"/>
    </xf>
    <xf numFmtId="0" fontId="2" fillId="3" borderId="22" applyAlignment="1" pivotButton="0" quotePrefix="0" xfId="0">
      <alignment vertical="center" wrapText="1"/>
    </xf>
    <xf numFmtId="0" fontId="2" fillId="3" borderId="23" applyAlignment="1" pivotButton="0" quotePrefix="0" xfId="0">
      <alignment vertical="center" wrapText="1"/>
    </xf>
    <xf numFmtId="0" fontId="2" fillId="3" borderId="24" applyAlignment="1" pivotButton="0" quotePrefix="0" xfId="0">
      <alignment vertical="center" wrapText="1"/>
    </xf>
    <xf numFmtId="0" fontId="2" fillId="3" borderId="25" applyAlignment="1" pivotButton="0" quotePrefix="0" xfId="0">
      <alignment vertical="center" wrapText="1"/>
    </xf>
    <xf numFmtId="0" fontId="2" fillId="3" borderId="26" applyAlignment="1" pivotButton="0" quotePrefix="0" xfId="0">
      <alignment vertical="center" wrapText="1"/>
    </xf>
    <xf numFmtId="2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2" fontId="2" fillId="3" borderId="18" applyAlignment="1" pivotButton="0" quotePrefix="0" xfId="0">
      <alignment vertical="center" wrapText="1"/>
    </xf>
    <xf numFmtId="165" fontId="2" fillId="3" borderId="18" applyAlignment="1" pivotButton="0" quotePrefix="0" xfId="0">
      <alignment vertical="center" wrapText="1"/>
    </xf>
    <xf numFmtId="10" fontId="2" fillId="3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10" fontId="2" fillId="3" borderId="18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2" fillId="3" borderId="16" applyAlignment="1" pivotButton="0" quotePrefix="0" xfId="0">
      <alignment vertical="center" wrapText="1"/>
    </xf>
    <xf numFmtId="0" fontId="2" fillId="3" borderId="17" applyAlignment="1" pivotButton="0" quotePrefix="0" xfId="0">
      <alignment vertical="center" wrapText="1"/>
    </xf>
    <xf numFmtId="0" fontId="19" fillId="10" borderId="27" xfId="0"/>
    <xf numFmtId="0" fontId="20" fillId="10" borderId="27" xfId="0" applyNumberFormat="1" applyFont="1" applyFill="1" applyBorder="1"/>
    <xf numFmtId="0" fontId="20" fillId="10" borderId="27" xfId="0" applyNumberFormat="1" applyFont="1" applyFill="1" applyBorder="1" applyAlignment="1">
      <alignment wrapText="1"/>
    </xf>
    <xf numFmtId="0" fontId="20" fillId="10" borderId="27" xfId="0" applyNumberFormat="1" applyFont="1" applyFill="1" applyBorder="1" applyAlignment="1">
      <alignment vertical="center" wrapText="1"/>
    </xf>
    <xf numFmtId="0" fontId="21" fillId="10" borderId="27" xfId="0" applyNumberFormat="1" applyFont="1" applyFill="1" applyBorder="1" applyAlignment="1">
      <alignment vertical="center" wrapText="1"/>
    </xf>
    <xf numFmtId="0" fontId="22" fillId="10" borderId="27" xfId="0" applyNumberFormat="1" applyFont="1" applyFill="1" applyBorder="1" applyAlignment="1">
      <alignment vertical="center" wrapText="1"/>
    </xf>
    <xf numFmtId="0" fontId="20" fillId="12" borderId="27" xfId="0" applyNumberFormat="1" applyFont="1" applyFill="1" applyBorder="1" applyAlignment="1">
      <alignment vertical="center" wrapText="1"/>
    </xf>
    <xf numFmtId="0" fontId="20" fillId="12" borderId="28" xfId="0" applyNumberFormat="1" applyFont="1" applyFill="1" applyBorder="1" applyAlignment="1">
      <alignment vertical="center" wrapText="1"/>
    </xf>
    <xf numFmtId="0" fontId="20" fillId="12" borderId="29" xfId="0" applyNumberFormat="1" applyFont="1" applyFill="1" applyBorder="1" applyAlignment="1">
      <alignment vertical="center" wrapText="1"/>
    </xf>
    <xf numFmtId="0" fontId="20" fillId="12" borderId="30" xfId="0" applyNumberFormat="1" applyFont="1" applyFill="1" applyBorder="1" applyAlignment="1">
      <alignment vertical="center" wrapText="1"/>
    </xf>
    <xf numFmtId="0" fontId="23" fillId="10" borderId="27" xfId="0" applyNumberFormat="1" applyFont="1" applyFill="1" applyBorder="1" applyAlignment="1">
      <alignment vertical="center" wrapText="1"/>
    </xf>
    <xf numFmtId="0" fontId="20" fillId="13" borderId="27" xfId="0" applyNumberFormat="1" applyFont="1" applyFill="1" applyBorder="1" applyAlignment="1">
      <alignment vertical="center" wrapText="1"/>
    </xf>
    <xf numFmtId="0" fontId="24" fillId="10" borderId="27" xfId="0" applyNumberFormat="1" applyFont="1" applyFill="1" applyBorder="1" applyAlignment="1">
      <alignment vertical="center" wrapText="1"/>
    </xf>
    <xf numFmtId="0" fontId="25" fillId="10" borderId="27" xfId="0" applyNumberFormat="1" applyFont="1" applyFill="1" applyBorder="1"/>
    <xf numFmtId="0" fontId="25" fillId="10" borderId="27" xfId="0" applyNumberFormat="1" applyFont="1" applyFill="1" applyBorder="1" applyAlignment="1">
      <alignment wrapText="1"/>
    </xf>
    <xf numFmtId="0" fontId="25" fillId="10" borderId="27" xfId="0" applyNumberFormat="1" applyFont="1" applyFill="1" applyBorder="1" applyAlignment="1">
      <alignment vertical="center" wrapText="1"/>
    </xf>
    <xf numFmtId="0" fontId="26" fillId="10" borderId="27" xfId="0" applyNumberFormat="1" applyFont="1" applyFill="1" applyBorder="1" applyAlignment="1">
      <alignment vertical="center" wrapText="1"/>
    </xf>
    <xf numFmtId="0" fontId="19" fillId="10" borderId="31" xfId="0" applyNumberFormat="1" applyFont="1" applyFill="1" applyBorder="1"/>
    <xf numFmtId="0" fontId="19" fillId="10" borderId="28" xfId="0" applyNumberFormat="1" applyFont="1" applyFill="1" applyBorder="1"/>
    <xf numFmtId="0" fontId="19" fillId="10" borderId="29" xfId="0" applyNumberFormat="1" applyFont="1" applyFill="1" applyBorder="1"/>
    <xf numFmtId="0" fontId="19" fillId="10" borderId="30" xfId="0" applyNumberFormat="1" applyFont="1" applyFill="1" applyBorder="1"/>
    <xf numFmtId="0" fontId="19" fillId="10" borderId="32" xfId="0" applyNumberFormat="1" applyFont="1" applyFill="1" applyBorder="1"/>
    <xf numFmtId="0" fontId="19" fillId="10" borderId="33" xfId="0" applyNumberFormat="1" applyFont="1" applyFill="1" applyBorder="1"/>
    <xf numFmtId="0" fontId="19" fillId="10" borderId="34" xfId="0" applyNumberFormat="1" applyFont="1" applyFill="1" applyBorder="1"/>
    <xf numFmtId="0" fontId="19" fillId="10" borderId="35" xfId="0" applyNumberFormat="1" applyFont="1" applyFill="1" applyBorder="1"/>
    <xf numFmtId="0" fontId="19" fillId="10" borderId="27" xfId="0" applyNumberFormat="1" applyFont="1" applyFill="1" applyBorder="1"/>
    <xf numFmtId="0" fontId="19" fillId="10" borderId="36" xfId="0" applyNumberFormat="1" applyFont="1" applyFill="1" applyBorder="1"/>
    <xf numFmtId="0" fontId="19" fillId="10" borderId="37" xfId="0" applyNumberFormat="1" applyFont="1" applyFill="1" applyBorder="1"/>
    <xf numFmtId="0" fontId="19" fillId="10" borderId="38" xfId="0" applyNumberFormat="1" applyFont="1" applyFill="1" applyBorder="1"/>
    <xf numFmtId="0" fontId="19" fillId="10" borderId="39" xfId="0" applyNumberFormat="1" applyFont="1" applyFill="1" applyBorder="1"/>
    <xf numFmtId="0" fontId="25" fillId="14" borderId="27" xfId="0" applyNumberFormat="1" applyFont="1" applyFill="1" applyBorder="1" applyAlignment="1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18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18" applyAlignment="1" pivotButton="0" quotePrefix="0" xfId="0">
      <alignment vertical="center" wrapText="1"/>
    </xf>
    <xf numFmtId="0" fontId="2" fillId="3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3" fillId="3" borderId="19" applyAlignment="1" pivotButton="0" quotePrefix="0" xfId="0">
      <alignment vertical="center" wrapText="1"/>
    </xf>
    <xf numFmtId="0" fontId="2" fillId="3" borderId="20" applyAlignment="1" pivotButton="0" quotePrefix="0" xfId="0">
      <alignment vertical="center" wrapText="1"/>
    </xf>
    <xf numFmtId="0" fontId="2" fillId="3" borderId="21" applyAlignment="1" pivotButton="0" quotePrefix="0" xfId="0">
      <alignment vertical="center" wrapText="1"/>
    </xf>
    <xf numFmtId="0" fontId="2" fillId="3" borderId="22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23" applyAlignment="1" pivotButton="0" quotePrefix="0" xfId="0">
      <alignment vertical="center" wrapText="1"/>
    </xf>
    <xf numFmtId="0" fontId="2" fillId="3" borderId="24" applyAlignment="1" pivotButton="0" quotePrefix="0" xfId="0">
      <alignment vertical="center" wrapText="1"/>
    </xf>
    <xf numFmtId="0" fontId="2" fillId="3" borderId="25" applyAlignment="1" pivotButton="0" quotePrefix="0" xfId="0">
      <alignment vertical="center" wrapText="1"/>
    </xf>
    <xf numFmtId="0" fontId="2" fillId="3" borderId="26" applyAlignment="1" pivotButton="0" quotePrefix="0" xfId="0">
      <alignment vertical="center" wrapText="1"/>
    </xf>
    <xf numFmtId="1" fontId="2" fillId="3" borderId="31" applyAlignment="1" pivotButton="0" quotePrefix="0" xfId="0">
      <alignment vertical="center" wrapText="1"/>
    </xf>
    <xf numFmtId="164" fontId="2" fillId="3" borderId="31" applyAlignment="1" pivotButton="0" quotePrefix="0" xfId="0">
      <alignment vertical="center" wrapText="1"/>
    </xf>
    <xf numFmtId="0" fontId="2" fillId="3" borderId="28" applyAlignment="1" pivotButton="0" quotePrefix="0" xfId="0">
      <alignment vertical="center" wrapText="1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3" fillId="3" borderId="32" applyAlignment="1" pivotButton="0" quotePrefix="0" xfId="0">
      <alignment vertical="center" wrapText="1"/>
    </xf>
    <xf numFmtId="0" fontId="2" fillId="3" borderId="33" applyAlignment="1" pivotButton="0" quotePrefix="0" xfId="0">
      <alignment vertical="center" wrapText="1"/>
    </xf>
    <xf numFmtId="0" fontId="2" fillId="3" borderId="34" applyAlignment="1" pivotButton="0" quotePrefix="0" xfId="0">
      <alignment vertical="center" wrapText="1"/>
    </xf>
    <xf numFmtId="0" fontId="2" fillId="3" borderId="35" applyAlignment="1" pivotButton="0" quotePrefix="0" xfId="0">
      <alignment vertical="center" wrapText="1"/>
    </xf>
    <xf numFmtId="0" fontId="2" fillId="3" borderId="36" applyAlignment="1" pivotButton="0" quotePrefix="0" xfId="0">
      <alignment vertical="center" wrapText="1"/>
    </xf>
    <xf numFmtId="0" fontId="2" fillId="3" borderId="37" applyAlignment="1" pivotButton="0" quotePrefix="0" xfId="0">
      <alignment vertical="center" wrapText="1"/>
    </xf>
    <xf numFmtId="0" fontId="2" fillId="3" borderId="38" applyAlignment="1" pivotButton="0" quotePrefix="0" xfId="0">
      <alignment vertical="center" wrapText="1"/>
    </xf>
    <xf numFmtId="0" fontId="2" fillId="3" borderId="39" applyAlignment="1" pivotButton="0" quotePrefix="0" xfId="0">
      <alignment vertical="center" wrapText="1"/>
    </xf>
    <xf numFmtId="2" fontId="2" fillId="3" borderId="18" applyAlignment="1" pivotButton="0" quotePrefix="0" xfId="0">
      <alignment vertical="center" wrapText="1"/>
    </xf>
    <xf numFmtId="165" fontId="2" fillId="3" borderId="18" applyAlignment="1" pivotButton="0" quotePrefix="0" xfId="0">
      <alignment vertical="center" wrapText="1"/>
    </xf>
    <xf numFmtId="2" fontId="2" fillId="3" borderId="31" applyAlignment="1" pivotButton="0" quotePrefix="0" xfId="0">
      <alignment vertical="center" wrapText="1"/>
    </xf>
    <xf numFmtId="165" fontId="2" fillId="3" borderId="31" applyAlignment="1" pivotButton="0" quotePrefix="0" xfId="0">
      <alignment vertical="center" wrapText="1"/>
    </xf>
    <xf numFmtId="10" fontId="2" fillId="3" borderId="18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2" fillId="3" borderId="16" applyAlignment="1" pivotButton="0" quotePrefix="0" xfId="0">
      <alignment vertical="center" wrapText="1"/>
    </xf>
    <xf numFmtId="0" fontId="2" fillId="3" borderId="17" applyAlignment="1" pivotButton="0" quotePrefix="0" xfId="0">
      <alignment vertical="center" wrapText="1"/>
    </xf>
    <xf numFmtId="10" fontId="2" fillId="3" borderId="31" applyAlignment="1" pivotButton="0" quotePrefix="0" xfId="0">
      <alignment vertical="center" wrapText="1"/>
    </xf>
    <xf numFmtId="0" fontId="3" fillId="3" borderId="28" applyAlignment="1" pivotButton="0" quotePrefix="0" xfId="0">
      <alignment vertical="center" wrapText="1"/>
    </xf>
    <xf numFmtId="0" fontId="2" fillId="3" borderId="29" applyAlignment="1" pivotButton="0" quotePrefix="0" xfId="0">
      <alignment vertical="center" wrapText="1"/>
    </xf>
    <xf numFmtId="0" fontId="2" fillId="3" borderId="30" applyAlignment="1" pivotButton="0" quotePrefix="0" xfId="0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31" fillId="20" borderId="0" applyAlignment="1" pivotButton="0" quotePrefix="0" xfId="0" applyFont="1" applyFill="1">
      <alignment vertical="center" wrapText="1"/>
    </xf>
    <xf numFmtId="0" fontId="32" fillId="21" borderId="0" applyAlignment="1" pivotButton="0" quotePrefix="0" xfId="0" applyFont="1" applyFill="1">
      <alignment vertical="center" wrapText="1"/>
    </xf>
    <xf numFmtId="0" fontId="33" fillId="22" borderId="0" applyAlignment="1" pivotButton="0" quotePrefix="0" xfId="0" applyFont="1" applyFill="1">
      <alignment vertical="center" wrapText="1"/>
    </xf>
    <xf numFmtId="0" fontId="34" fillId="23" borderId="0" applyAlignment="1" pivotButton="0" quotePrefix="0" xfId="0" applyFont="1" applyFill="1">
      <alignment vertical="center" wrapText="1"/>
    </xf>
    <xf numFmtId="0" fontId="28" fillId="24" borderId="0" applyAlignment="1" pivotButton="0" quotePrefix="0" xfId="0" applyFont="1" applyFill="1">
      <alignment vertical="center" wrapText="1"/>
    </xf>
    <xf numFmtId="0" fontId="35" fillId="25" borderId="40" xfId="0"/>
    <xf numFmtId="0" fontId="36" fillId="25" borderId="40" xfId="0" applyNumberFormat="1" applyFont="1" applyFill="1" applyBorder="1"/>
    <xf numFmtId="0" fontId="36" fillId="25" borderId="40" xfId="0" applyNumberFormat="1" applyFont="1" applyFill="1" applyBorder="1" applyAlignment="1">
      <alignment wrapText="1"/>
    </xf>
    <xf numFmtId="0" fontId="36" fillId="25" borderId="40" xfId="0" applyNumberFormat="1" applyFont="1" applyFill="1" applyBorder="1" applyAlignment="1">
      <alignment vertical="center" wrapText="1"/>
    </xf>
    <xf numFmtId="0" fontId="37" fillId="25" borderId="40" xfId="0" applyNumberFormat="1" applyFont="1" applyFill="1" applyBorder="1" applyAlignment="1">
      <alignment vertical="center" wrapText="1"/>
    </xf>
    <xf numFmtId="0" fontId="38" fillId="25" borderId="40" xfId="0" applyNumberFormat="1" applyFont="1" applyFill="1" applyBorder="1" applyAlignment="1">
      <alignment vertical="center" wrapText="1"/>
    </xf>
    <xf numFmtId="0" fontId="36" fillId="27" borderId="40" xfId="0" applyNumberFormat="1" applyFont="1" applyFill="1" applyBorder="1" applyAlignment="1">
      <alignment vertical="center" wrapText="1"/>
    </xf>
    <xf numFmtId="0" fontId="36" fillId="27" borderId="41" xfId="0" applyNumberFormat="1" applyFont="1" applyFill="1" applyBorder="1" applyAlignment="1">
      <alignment vertical="center" wrapText="1"/>
    </xf>
    <xf numFmtId="0" fontId="36" fillId="27" borderId="42" xfId="0" applyNumberFormat="1" applyFont="1" applyFill="1" applyBorder="1" applyAlignment="1">
      <alignment vertical="center" wrapText="1"/>
    </xf>
    <xf numFmtId="0" fontId="36" fillId="27" borderId="43" xfId="0" applyNumberFormat="1" applyFont="1" applyFill="1" applyBorder="1" applyAlignment="1">
      <alignment vertical="center" wrapText="1"/>
    </xf>
    <xf numFmtId="0" fontId="39" fillId="25" borderId="40" xfId="0" applyNumberFormat="1" applyFont="1" applyFill="1" applyBorder="1" applyAlignment="1">
      <alignment vertical="center" wrapText="1"/>
    </xf>
    <xf numFmtId="0" fontId="36" fillId="28" borderId="40" xfId="0" applyNumberFormat="1" applyFont="1" applyFill="1" applyBorder="1" applyAlignment="1">
      <alignment vertical="center" wrapText="1"/>
    </xf>
    <xf numFmtId="0" fontId="40" fillId="25" borderId="40" xfId="0" applyNumberFormat="1" applyFont="1" applyFill="1" applyBorder="1" applyAlignment="1">
      <alignment vertical="center" wrapText="1"/>
    </xf>
    <xf numFmtId="0" fontId="41" fillId="25" borderId="40" xfId="0" applyNumberFormat="1" applyFont="1" applyFill="1" applyBorder="1"/>
    <xf numFmtId="0" fontId="41" fillId="25" borderId="40" xfId="0" applyNumberFormat="1" applyFont="1" applyFill="1" applyBorder="1" applyAlignment="1">
      <alignment wrapText="1"/>
    </xf>
    <xf numFmtId="0" fontId="41" fillId="25" borderId="40" xfId="0" applyNumberFormat="1" applyFont="1" applyFill="1" applyBorder="1" applyAlignment="1">
      <alignment vertical="center" wrapText="1"/>
    </xf>
    <xf numFmtId="0" fontId="42" fillId="25" borderId="40" xfId="0" applyNumberFormat="1" applyFont="1" applyFill="1" applyBorder="1" applyAlignment="1">
      <alignment vertical="center" wrapText="1"/>
    </xf>
    <xf numFmtId="0" fontId="35" fillId="25" borderId="44" xfId="0" applyNumberFormat="1" applyFont="1" applyFill="1" applyBorder="1"/>
    <xf numFmtId="0" fontId="35" fillId="25" borderId="41" xfId="0" applyNumberFormat="1" applyFont="1" applyFill="1" applyBorder="1"/>
    <xf numFmtId="0" fontId="35" fillId="25" borderId="42" xfId="0" applyNumberFormat="1" applyFont="1" applyFill="1" applyBorder="1"/>
    <xf numFmtId="0" fontId="35" fillId="25" borderId="43" xfId="0" applyNumberFormat="1" applyFont="1" applyFill="1" applyBorder="1"/>
    <xf numFmtId="0" fontId="35" fillId="25" borderId="45" xfId="0" applyNumberFormat="1" applyFont="1" applyFill="1" applyBorder="1"/>
    <xf numFmtId="0" fontId="35" fillId="25" borderId="46" xfId="0" applyNumberFormat="1" applyFont="1" applyFill="1" applyBorder="1"/>
    <xf numFmtId="0" fontId="35" fillId="25" borderId="47" xfId="0" applyNumberFormat="1" applyFont="1" applyFill="1" applyBorder="1"/>
    <xf numFmtId="0" fontId="35" fillId="25" borderId="48" xfId="0" applyNumberFormat="1" applyFont="1" applyFill="1" applyBorder="1"/>
    <xf numFmtId="0" fontId="35" fillId="25" borderId="40" xfId="0" applyNumberFormat="1" applyFont="1" applyFill="1" applyBorder="1"/>
    <xf numFmtId="0" fontId="35" fillId="25" borderId="49" xfId="0" applyNumberFormat="1" applyFont="1" applyFill="1" applyBorder="1"/>
    <xf numFmtId="0" fontId="35" fillId="25" borderId="50" xfId="0" applyNumberFormat="1" applyFont="1" applyFill="1" applyBorder="1"/>
    <xf numFmtId="0" fontId="35" fillId="25" borderId="51" xfId="0" applyNumberFormat="1" applyFont="1" applyFill="1" applyBorder="1"/>
    <xf numFmtId="0" fontId="35" fillId="25" borderId="52" xfId="0" applyNumberFormat="1" applyFont="1" applyFill="1" applyBorder="1"/>
    <xf numFmtId="0" fontId="41" fillId="29" borderId="40" xfId="0" applyNumberFormat="1" applyFont="1" applyFill="1" applyBorder="1" applyAlignment="1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" fillId="0" borderId="0" applyAlignment="1" pivotButton="0" quotePrefix="0" xfId="0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31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31" applyAlignment="1" pivotButton="0" quotePrefix="0" xfId="0">
      <alignment vertical="center" wrapText="1"/>
    </xf>
    <xf numFmtId="0" fontId="2" fillId="3" borderId="28" applyAlignment="1" pivotButton="0" quotePrefix="0" xfId="0">
      <alignment vertical="center" wrapText="1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3" fillId="3" borderId="32" applyAlignment="1" pivotButton="0" quotePrefix="0" xfId="0">
      <alignment vertical="center" wrapText="1"/>
    </xf>
    <xf numFmtId="0" fontId="2" fillId="3" borderId="33" applyAlignment="1" pivotButton="0" quotePrefix="0" xfId="0">
      <alignment vertical="center" wrapText="1"/>
    </xf>
    <xf numFmtId="0" fontId="2" fillId="3" borderId="34" applyAlignment="1" pivotButton="0" quotePrefix="0" xfId="0">
      <alignment vertical="center" wrapText="1"/>
    </xf>
    <xf numFmtId="0" fontId="2" fillId="3" borderId="35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36" applyAlignment="1" pivotButton="0" quotePrefix="0" xfId="0">
      <alignment vertical="center" wrapText="1"/>
    </xf>
    <xf numFmtId="0" fontId="2" fillId="3" borderId="37" applyAlignment="1" pivotButton="0" quotePrefix="0" xfId="0">
      <alignment vertical="center" wrapText="1"/>
    </xf>
    <xf numFmtId="0" fontId="2" fillId="3" borderId="38" applyAlignment="1" pivotButton="0" quotePrefix="0" xfId="0">
      <alignment vertical="center" wrapText="1"/>
    </xf>
    <xf numFmtId="0" fontId="2" fillId="3" borderId="39" applyAlignment="1" pivotButton="0" quotePrefix="0" xfId="0">
      <alignment vertical="center" wrapText="1"/>
    </xf>
    <xf numFmtId="1" fontId="2" fillId="3" borderId="44" applyAlignment="1" pivotButton="0" quotePrefix="0" xfId="0">
      <alignment vertical="center" wrapText="1"/>
    </xf>
    <xf numFmtId="164" fontId="2" fillId="3" borderId="44" applyAlignment="1" pivotButton="0" quotePrefix="0" xfId="0">
      <alignment vertical="center" wrapText="1"/>
    </xf>
    <xf numFmtId="0" fontId="2" fillId="3" borderId="41" applyAlignment="1" pivotButton="0" quotePrefix="0" xfId="0">
      <alignment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3" fillId="3" borderId="45" applyAlignment="1" pivotButton="0" quotePrefix="0" xfId="0">
      <alignment vertical="center" wrapText="1"/>
    </xf>
    <xf numFmtId="0" fontId="2" fillId="3" borderId="46" applyAlignment="1" pivotButton="0" quotePrefix="0" xfId="0">
      <alignment vertical="center" wrapText="1"/>
    </xf>
    <xf numFmtId="0" fontId="2" fillId="3" borderId="47" applyAlignment="1" pivotButton="0" quotePrefix="0" xfId="0">
      <alignment vertical="center" wrapText="1"/>
    </xf>
    <xf numFmtId="0" fontId="2" fillId="3" borderId="48" applyAlignment="1" pivotButton="0" quotePrefix="0" xfId="0">
      <alignment vertical="center" wrapText="1"/>
    </xf>
    <xf numFmtId="0" fontId="2" fillId="3" borderId="49" applyAlignment="1" pivotButton="0" quotePrefix="0" xfId="0">
      <alignment vertical="center" wrapText="1"/>
    </xf>
    <xf numFmtId="0" fontId="2" fillId="3" borderId="50" applyAlignment="1" pivotButton="0" quotePrefix="0" xfId="0">
      <alignment vertical="center" wrapText="1"/>
    </xf>
    <xf numFmtId="0" fontId="2" fillId="3" borderId="51" applyAlignment="1" pivotButton="0" quotePrefix="0" xfId="0">
      <alignment vertical="center" wrapText="1"/>
    </xf>
    <xf numFmtId="0" fontId="2" fillId="3" borderId="52" applyAlignment="1" pivotButton="0" quotePrefix="0" xfId="0">
      <alignment vertical="center" wrapText="1"/>
    </xf>
    <xf numFmtId="2" fontId="2" fillId="3" borderId="31" applyAlignment="1" pivotButton="0" quotePrefix="0" xfId="0">
      <alignment vertical="center" wrapText="1"/>
    </xf>
    <xf numFmtId="165" fontId="2" fillId="3" borderId="31" applyAlignment="1" pivotButton="0" quotePrefix="0" xfId="0">
      <alignment vertical="center" wrapText="1"/>
    </xf>
    <xf numFmtId="2" fontId="2" fillId="3" borderId="44" applyAlignment="1" pivotButton="0" quotePrefix="0" xfId="0">
      <alignment vertical="center" wrapText="1"/>
    </xf>
    <xf numFmtId="165" fontId="2" fillId="3" borderId="44" applyAlignment="1" pivotButton="0" quotePrefix="0" xfId="0">
      <alignment vertical="center" wrapText="1"/>
    </xf>
    <xf numFmtId="10" fontId="2" fillId="3" borderId="31" applyAlignment="1" pivotButton="0" quotePrefix="0" xfId="0">
      <alignment vertical="center" wrapText="1"/>
    </xf>
    <xf numFmtId="0" fontId="3" fillId="3" borderId="28" applyAlignment="1" pivotButton="0" quotePrefix="0" xfId="0">
      <alignment vertical="center" wrapText="1"/>
    </xf>
    <xf numFmtId="0" fontId="2" fillId="3" borderId="29" applyAlignment="1" pivotButton="0" quotePrefix="0" xfId="0">
      <alignment vertical="center" wrapText="1"/>
    </xf>
    <xf numFmtId="0" fontId="2" fillId="3" borderId="30" applyAlignment="1" pivotButton="0" quotePrefix="0" xfId="0">
      <alignment vertical="center" wrapText="1"/>
    </xf>
    <xf numFmtId="10" fontId="2" fillId="3" borderId="44" applyAlignment="1" pivotButton="0" quotePrefix="0" xfId="0">
      <alignment vertical="center" wrapText="1"/>
    </xf>
    <xf numFmtId="0" fontId="3" fillId="3" borderId="41" applyAlignment="1" pivotButton="0" quotePrefix="0" xfId="0">
      <alignment vertical="center" wrapText="1"/>
    </xf>
    <xf numFmtId="0" fontId="2" fillId="3" borderId="42" applyAlignment="1" pivotButton="0" quotePrefix="0" xfId="0">
      <alignment vertical="center" wrapText="1"/>
    </xf>
    <xf numFmtId="0" fontId="2" fillId="3" borderId="43" applyAlignment="1" pivotButton="0" quotePrefix="0" xfId="0">
      <alignment vertical="center" wrapText="1"/>
    </xf>
    <xf numFmtId="0" fontId="43" fillId="30" borderId="53" xfId="0"/>
    <xf numFmtId="0" fontId="44" fillId="30" borderId="53" xfId="0" applyNumberFormat="1" applyFont="1" applyFill="1" applyBorder="1"/>
    <xf numFmtId="0" fontId="44" fillId="30" borderId="53" xfId="0" applyNumberFormat="1" applyFont="1" applyFill="1" applyBorder="1" applyAlignment="1">
      <alignment wrapText="1"/>
    </xf>
    <xf numFmtId="0" fontId="44" fillId="30" borderId="53" xfId="0" applyNumberFormat="1" applyFont="1" applyFill="1" applyBorder="1" applyAlignment="1">
      <alignment vertical="center" wrapText="1"/>
    </xf>
    <xf numFmtId="0" fontId="45" fillId="30" borderId="53" xfId="0" applyNumberFormat="1" applyFont="1" applyFill="1" applyBorder="1" applyAlignment="1">
      <alignment vertical="center" wrapText="1"/>
    </xf>
    <xf numFmtId="0" fontId="46" fillId="30" borderId="53" xfId="0" applyNumberFormat="1" applyFont="1" applyFill="1" applyBorder="1" applyAlignment="1">
      <alignment vertical="center" wrapText="1"/>
    </xf>
    <xf numFmtId="0" fontId="44" fillId="32" borderId="53" xfId="0" applyNumberFormat="1" applyFont="1" applyFill="1" applyBorder="1" applyAlignment="1">
      <alignment vertical="center" wrapText="1"/>
    </xf>
    <xf numFmtId="0" fontId="44" fillId="32" borderId="54" xfId="0" applyNumberFormat="1" applyFont="1" applyFill="1" applyBorder="1" applyAlignment="1">
      <alignment vertical="center" wrapText="1"/>
    </xf>
    <xf numFmtId="0" fontId="44" fillId="32" borderId="55" xfId="0" applyNumberFormat="1" applyFont="1" applyFill="1" applyBorder="1" applyAlignment="1">
      <alignment vertical="center" wrapText="1"/>
    </xf>
    <xf numFmtId="0" fontId="44" fillId="32" borderId="56" xfId="0" applyNumberFormat="1" applyFont="1" applyFill="1" applyBorder="1" applyAlignment="1">
      <alignment vertical="center" wrapText="1"/>
    </xf>
    <xf numFmtId="0" fontId="47" fillId="30" borderId="53" xfId="0" applyNumberFormat="1" applyFont="1" applyFill="1" applyBorder="1" applyAlignment="1">
      <alignment vertical="center" wrapText="1"/>
    </xf>
    <xf numFmtId="0" fontId="44" fillId="33" borderId="53" xfId="0" applyNumberFormat="1" applyFont="1" applyFill="1" applyBorder="1" applyAlignment="1">
      <alignment vertical="center" wrapText="1"/>
    </xf>
    <xf numFmtId="0" fontId="48" fillId="30" borderId="53" xfId="0" applyNumberFormat="1" applyFont="1" applyFill="1" applyBorder="1" applyAlignment="1">
      <alignment vertical="center" wrapText="1"/>
    </xf>
    <xf numFmtId="0" fontId="49" fillId="30" borderId="53" xfId="0" applyNumberFormat="1" applyFont="1" applyFill="1" applyBorder="1"/>
    <xf numFmtId="0" fontId="49" fillId="30" borderId="53" xfId="0" applyNumberFormat="1" applyFont="1" applyFill="1" applyBorder="1" applyAlignment="1">
      <alignment wrapText="1"/>
    </xf>
    <xf numFmtId="0" fontId="49" fillId="30" borderId="53" xfId="0" applyNumberFormat="1" applyFont="1" applyFill="1" applyBorder="1" applyAlignment="1">
      <alignment vertical="center" wrapText="1"/>
    </xf>
    <xf numFmtId="0" fontId="50" fillId="30" borderId="53" xfId="0" applyNumberFormat="1" applyFont="1" applyFill="1" applyBorder="1" applyAlignment="1">
      <alignment vertical="center" wrapText="1"/>
    </xf>
    <xf numFmtId="0" fontId="43" fillId="30" borderId="57" xfId="0" applyNumberFormat="1" applyFont="1" applyFill="1" applyBorder="1"/>
    <xf numFmtId="0" fontId="43" fillId="30" borderId="54" xfId="0" applyNumberFormat="1" applyFont="1" applyFill="1" applyBorder="1"/>
    <xf numFmtId="0" fontId="43" fillId="30" borderId="55" xfId="0" applyNumberFormat="1" applyFont="1" applyFill="1" applyBorder="1"/>
    <xf numFmtId="0" fontId="43" fillId="30" borderId="56" xfId="0" applyNumberFormat="1" applyFont="1" applyFill="1" applyBorder="1"/>
    <xf numFmtId="0" fontId="43" fillId="30" borderId="58" xfId="0" applyNumberFormat="1" applyFont="1" applyFill="1" applyBorder="1"/>
    <xf numFmtId="0" fontId="43" fillId="30" borderId="59" xfId="0" applyNumberFormat="1" applyFont="1" applyFill="1" applyBorder="1"/>
    <xf numFmtId="0" fontId="43" fillId="30" borderId="60" xfId="0" applyNumberFormat="1" applyFont="1" applyFill="1" applyBorder="1"/>
    <xf numFmtId="0" fontId="43" fillId="30" borderId="61" xfId="0" applyNumberFormat="1" applyFont="1" applyFill="1" applyBorder="1"/>
    <xf numFmtId="0" fontId="43" fillId="30" borderId="53" xfId="0" applyNumberFormat="1" applyFont="1" applyFill="1" applyBorder="1"/>
    <xf numFmtId="0" fontId="43" fillId="30" borderId="62" xfId="0" applyNumberFormat="1" applyFont="1" applyFill="1" applyBorder="1"/>
    <xf numFmtId="0" fontId="43" fillId="30" borderId="63" xfId="0" applyNumberFormat="1" applyFont="1" applyFill="1" applyBorder="1"/>
    <xf numFmtId="0" fontId="43" fillId="30" borderId="64" xfId="0" applyNumberFormat="1" applyFont="1" applyFill="1" applyBorder="1"/>
    <xf numFmtId="0" fontId="43" fillId="30" borderId="65" xfId="0" applyNumberFormat="1" applyFont="1" applyFill="1" applyBorder="1"/>
    <xf numFmtId="0" fontId="49" fillId="34" borderId="53" xfId="0" applyNumberFormat="1" applyFont="1" applyFill="1" applyBorder="1" applyAlignment="1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" fillId="0" borderId="0" applyAlignment="1" pivotButton="0" quotePrefix="0" xfId="0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44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44" applyAlignment="1" pivotButton="0" quotePrefix="0" xfId="0">
      <alignment vertical="center" wrapText="1"/>
    </xf>
    <xf numFmtId="0" fontId="2" fillId="3" borderId="41" applyAlignment="1" pivotButton="0" quotePrefix="0" xfId="0">
      <alignment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3" fillId="3" borderId="45" applyAlignment="1" pivotButton="0" quotePrefix="0" xfId="0">
      <alignment vertical="center" wrapText="1"/>
    </xf>
    <xf numFmtId="0" fontId="2" fillId="3" borderId="46" applyAlignment="1" pivotButton="0" quotePrefix="0" xfId="0">
      <alignment vertical="center" wrapText="1"/>
    </xf>
    <xf numFmtId="0" fontId="2" fillId="3" borderId="47" applyAlignment="1" pivotButton="0" quotePrefix="0" xfId="0">
      <alignment vertical="center" wrapText="1"/>
    </xf>
    <xf numFmtId="0" fontId="2" fillId="3" borderId="48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49" applyAlignment="1" pivotButton="0" quotePrefix="0" xfId="0">
      <alignment vertical="center" wrapText="1"/>
    </xf>
    <xf numFmtId="0" fontId="2" fillId="3" borderId="50" applyAlignment="1" pivotButton="0" quotePrefix="0" xfId="0">
      <alignment vertical="center" wrapText="1"/>
    </xf>
    <xf numFmtId="0" fontId="2" fillId="3" borderId="51" applyAlignment="1" pivotButton="0" quotePrefix="0" xfId="0">
      <alignment vertical="center" wrapText="1"/>
    </xf>
    <xf numFmtId="0" fontId="2" fillId="3" borderId="52" applyAlignment="1" pivotButton="0" quotePrefix="0" xfId="0">
      <alignment vertical="center" wrapText="1"/>
    </xf>
    <xf numFmtId="1" fontId="2" fillId="3" borderId="57" applyAlignment="1" pivotButton="0" quotePrefix="0" xfId="0">
      <alignment vertical="center" wrapText="1"/>
    </xf>
    <xf numFmtId="164" fontId="2" fillId="3" borderId="57" applyAlignment="1" pivotButton="0" quotePrefix="0" xfId="0">
      <alignment vertical="center" wrapText="1"/>
    </xf>
    <xf numFmtId="0" fontId="2" fillId="3" borderId="54" applyAlignment="1" pivotButton="0" quotePrefix="0" xfId="0">
      <alignment vertical="center" wrapText="1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3" fillId="3" borderId="58" applyAlignment="1" pivotButton="0" quotePrefix="0" xfId="0">
      <alignment vertical="center" wrapText="1"/>
    </xf>
    <xf numFmtId="0" fontId="2" fillId="3" borderId="59" applyAlignment="1" pivotButton="0" quotePrefix="0" xfId="0">
      <alignment vertical="center" wrapText="1"/>
    </xf>
    <xf numFmtId="0" fontId="2" fillId="3" borderId="60" applyAlignment="1" pivotButton="0" quotePrefix="0" xfId="0">
      <alignment vertical="center" wrapText="1"/>
    </xf>
    <xf numFmtId="0" fontId="2" fillId="3" borderId="61" applyAlignment="1" pivotButton="0" quotePrefix="0" xfId="0">
      <alignment vertical="center" wrapText="1"/>
    </xf>
    <xf numFmtId="0" fontId="2" fillId="3" borderId="62" applyAlignment="1" pivotButton="0" quotePrefix="0" xfId="0">
      <alignment vertical="center" wrapText="1"/>
    </xf>
    <xf numFmtId="0" fontId="2" fillId="3" borderId="63" applyAlignment="1" pivotButton="0" quotePrefix="0" xfId="0">
      <alignment vertical="center" wrapText="1"/>
    </xf>
    <xf numFmtId="0" fontId="2" fillId="3" borderId="64" applyAlignment="1" pivotButton="0" quotePrefix="0" xfId="0">
      <alignment vertical="center" wrapText="1"/>
    </xf>
    <xf numFmtId="0" fontId="2" fillId="3" borderId="65" applyAlignment="1" pivotButton="0" quotePrefix="0" xfId="0">
      <alignment vertical="center" wrapText="1"/>
    </xf>
    <xf numFmtId="2" fontId="2" fillId="3" borderId="44" applyAlignment="1" pivotButton="0" quotePrefix="0" xfId="0">
      <alignment vertical="center" wrapText="1"/>
    </xf>
    <xf numFmtId="165" fontId="2" fillId="3" borderId="44" applyAlignment="1" pivotButton="0" quotePrefix="0" xfId="0">
      <alignment vertical="center" wrapText="1"/>
    </xf>
    <xf numFmtId="2" fontId="2" fillId="3" borderId="57" applyAlignment="1" pivotButton="0" quotePrefix="0" xfId="0">
      <alignment vertical="center" wrapText="1"/>
    </xf>
    <xf numFmtId="165" fontId="2" fillId="3" borderId="57" applyAlignment="1" pivotButton="0" quotePrefix="0" xfId="0">
      <alignment vertical="center" wrapText="1"/>
    </xf>
    <xf numFmtId="10" fontId="2" fillId="3" borderId="44" applyAlignment="1" pivotButton="0" quotePrefix="0" xfId="0">
      <alignment vertical="center" wrapText="1"/>
    </xf>
    <xf numFmtId="0" fontId="3" fillId="3" borderId="41" applyAlignment="1" pivotButton="0" quotePrefix="0" xfId="0">
      <alignment vertical="center" wrapText="1"/>
    </xf>
    <xf numFmtId="0" fontId="2" fillId="3" borderId="42" applyAlignment="1" pivotButton="0" quotePrefix="0" xfId="0">
      <alignment vertical="center" wrapText="1"/>
    </xf>
    <xf numFmtId="0" fontId="2" fillId="3" borderId="43" applyAlignment="1" pivotButton="0" quotePrefix="0" xfId="0">
      <alignment vertical="center" wrapText="1"/>
    </xf>
    <xf numFmtId="10" fontId="2" fillId="3" borderId="57" applyAlignment="1" pivotButton="0" quotePrefix="0" xfId="0">
      <alignment vertical="center" wrapText="1"/>
    </xf>
    <xf numFmtId="0" fontId="3" fillId="3" borderId="54" applyAlignment="1" pivotButton="0" quotePrefix="0" xfId="0">
      <alignment vertical="center" wrapText="1"/>
    </xf>
    <xf numFmtId="0" fontId="2" fillId="3" borderId="55" applyAlignment="1" pivotButton="0" quotePrefix="0" xfId="0">
      <alignment vertical="center" wrapText="1"/>
    </xf>
    <xf numFmtId="0" fontId="2" fillId="3" borderId="56" applyAlignment="1" pivotButton="0" quotePrefix="0" xfId="0">
      <alignment vertical="center" wrapText="1"/>
    </xf>
    <xf numFmtId="0" fontId="51" fillId="35" borderId="0" applyAlignment="1" pivotButton="0" quotePrefix="0" xfId="0" applyFont="1" applyFill="1">
      <alignment vertical="center" wrapText="1"/>
    </xf>
    <xf numFmtId="0" fontId="52" fillId="36" borderId="0" applyAlignment="1" pivotButton="0" quotePrefix="0" xfId="0" applyFont="1" applyFill="1">
      <alignment vertical="center" wrapText="1"/>
    </xf>
    <xf numFmtId="0" fontId="53" fillId="37" borderId="0" applyAlignment="1" pivotButton="0" quotePrefix="0" xfId="0" applyFont="1" applyFill="1">
      <alignment vertical="center" wrapText="1"/>
    </xf>
    <xf numFmtId="0" fontId="54" fillId="38" borderId="0" applyAlignment="1" pivotButton="0" quotePrefix="0" xfId="0" applyFont="1" applyFill="1">
      <alignment vertical="center" wrapText="1"/>
    </xf>
    <xf numFmtId="0" fontId="28" fillId="39" borderId="0" applyAlignment="1" pivotButton="0" quotePrefix="0" xfId="0" applyFont="1" applyFill="1">
      <alignment vertical="center" wrapText="1"/>
    </xf>
    <xf numFmtId="0" fontId="55" fillId="40" borderId="66" xfId="0"/>
    <xf numFmtId="0" fontId="56" fillId="40" borderId="66" xfId="0" applyNumberFormat="1" applyFont="1" applyFill="1" applyBorder="1"/>
    <xf numFmtId="0" fontId="56" fillId="40" borderId="66" xfId="0" applyNumberFormat="1" applyFont="1" applyFill="1" applyBorder="1" applyAlignment="1">
      <alignment wrapText="1"/>
    </xf>
    <xf numFmtId="0" fontId="56" fillId="40" borderId="66" xfId="0" applyNumberFormat="1" applyFont="1" applyFill="1" applyBorder="1" applyAlignment="1">
      <alignment vertical="center" wrapText="1"/>
    </xf>
    <xf numFmtId="0" fontId="57" fillId="40" borderId="66" xfId="0" applyNumberFormat="1" applyFont="1" applyFill="1" applyBorder="1" applyAlignment="1">
      <alignment vertical="center" wrapText="1"/>
    </xf>
    <xf numFmtId="0" fontId="58" fillId="40" borderId="66" xfId="0" applyNumberFormat="1" applyFont="1" applyFill="1" applyBorder="1" applyAlignment="1">
      <alignment vertical="center" wrapText="1"/>
    </xf>
    <xf numFmtId="0" fontId="56" fillId="42" borderId="66" xfId="0" applyNumberFormat="1" applyFont="1" applyFill="1" applyBorder="1" applyAlignment="1">
      <alignment vertical="center" wrapText="1"/>
    </xf>
    <xf numFmtId="0" fontId="56" fillId="42" borderId="67" xfId="0" applyNumberFormat="1" applyFont="1" applyFill="1" applyBorder="1" applyAlignment="1">
      <alignment vertical="center" wrapText="1"/>
    </xf>
    <xf numFmtId="0" fontId="56" fillId="42" borderId="68" xfId="0" applyNumberFormat="1" applyFont="1" applyFill="1" applyBorder="1" applyAlignment="1">
      <alignment vertical="center" wrapText="1"/>
    </xf>
    <xf numFmtId="0" fontId="56" fillId="42" borderId="69" xfId="0" applyNumberFormat="1" applyFont="1" applyFill="1" applyBorder="1" applyAlignment="1">
      <alignment vertical="center" wrapText="1"/>
    </xf>
    <xf numFmtId="0" fontId="59" fillId="40" borderId="66" xfId="0" applyNumberFormat="1" applyFont="1" applyFill="1" applyBorder="1" applyAlignment="1">
      <alignment vertical="center" wrapText="1"/>
    </xf>
    <xf numFmtId="0" fontId="56" fillId="43" borderId="66" xfId="0" applyNumberFormat="1" applyFont="1" applyFill="1" applyBorder="1" applyAlignment="1">
      <alignment vertical="center" wrapText="1"/>
    </xf>
    <xf numFmtId="0" fontId="60" fillId="40" borderId="66" xfId="0" applyNumberFormat="1" applyFont="1" applyFill="1" applyBorder="1" applyAlignment="1">
      <alignment vertical="center" wrapText="1"/>
    </xf>
    <xf numFmtId="0" fontId="61" fillId="40" borderId="66" xfId="0" applyNumberFormat="1" applyFont="1" applyFill="1" applyBorder="1"/>
    <xf numFmtId="0" fontId="61" fillId="40" borderId="66" xfId="0" applyNumberFormat="1" applyFont="1" applyFill="1" applyBorder="1" applyAlignment="1">
      <alignment wrapText="1"/>
    </xf>
    <xf numFmtId="0" fontId="61" fillId="40" borderId="66" xfId="0" applyNumberFormat="1" applyFont="1" applyFill="1" applyBorder="1" applyAlignment="1">
      <alignment vertical="center" wrapText="1"/>
    </xf>
    <xf numFmtId="0" fontId="62" fillId="40" borderId="66" xfId="0" applyNumberFormat="1" applyFont="1" applyFill="1" applyBorder="1" applyAlignment="1">
      <alignment vertical="center" wrapText="1"/>
    </xf>
    <xf numFmtId="0" fontId="55" fillId="40" borderId="70" xfId="0" applyNumberFormat="1" applyFont="1" applyFill="1" applyBorder="1"/>
    <xf numFmtId="0" fontId="55" fillId="40" borderId="67" xfId="0" applyNumberFormat="1" applyFont="1" applyFill="1" applyBorder="1"/>
    <xf numFmtId="0" fontId="55" fillId="40" borderId="68" xfId="0" applyNumberFormat="1" applyFont="1" applyFill="1" applyBorder="1"/>
    <xf numFmtId="0" fontId="55" fillId="40" borderId="69" xfId="0" applyNumberFormat="1" applyFont="1" applyFill="1" applyBorder="1"/>
    <xf numFmtId="0" fontId="55" fillId="40" borderId="71" xfId="0" applyNumberFormat="1" applyFont="1" applyFill="1" applyBorder="1"/>
    <xf numFmtId="0" fontId="55" fillId="40" borderId="72" xfId="0" applyNumberFormat="1" applyFont="1" applyFill="1" applyBorder="1"/>
    <xf numFmtId="0" fontId="55" fillId="40" borderId="73" xfId="0" applyNumberFormat="1" applyFont="1" applyFill="1" applyBorder="1"/>
    <xf numFmtId="0" fontId="55" fillId="40" borderId="74" xfId="0" applyNumberFormat="1" applyFont="1" applyFill="1" applyBorder="1"/>
    <xf numFmtId="0" fontId="55" fillId="40" borderId="66" xfId="0" applyNumberFormat="1" applyFont="1" applyFill="1" applyBorder="1"/>
    <xf numFmtId="0" fontId="55" fillId="40" borderId="75" xfId="0" applyNumberFormat="1" applyFont="1" applyFill="1" applyBorder="1"/>
    <xf numFmtId="0" fontId="55" fillId="40" borderId="76" xfId="0" applyNumberFormat="1" applyFont="1" applyFill="1" applyBorder="1"/>
    <xf numFmtId="0" fontId="55" fillId="40" borderId="77" xfId="0" applyNumberFormat="1" applyFont="1" applyFill="1" applyBorder="1"/>
    <xf numFmtId="0" fontId="55" fillId="40" borderId="78" xfId="0" applyNumberFormat="1" applyFont="1" applyFill="1" applyBorder="1"/>
    <xf numFmtId="0" fontId="61" fillId="44" borderId="66" xfId="0" applyNumberFormat="1" applyFont="1" applyFill="1" applyBorder="1" applyAlignment="1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" fillId="0" borderId="0" applyAlignment="1" pivotButton="0" quotePrefix="0" xfId="0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57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57" applyAlignment="1" pivotButton="0" quotePrefix="0" xfId="0">
      <alignment vertical="center" wrapText="1"/>
    </xf>
    <xf numFmtId="0" fontId="2" fillId="3" borderId="54" applyAlignment="1" pivotButton="0" quotePrefix="0" xfId="0">
      <alignment vertical="center" wrapText="1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3" fillId="3" borderId="58" applyAlignment="1" pivotButton="0" quotePrefix="0" xfId="0">
      <alignment vertical="center" wrapText="1"/>
    </xf>
    <xf numFmtId="0" fontId="2" fillId="3" borderId="59" applyAlignment="1" pivotButton="0" quotePrefix="0" xfId="0">
      <alignment vertical="center" wrapText="1"/>
    </xf>
    <xf numFmtId="0" fontId="2" fillId="3" borderId="60" applyAlignment="1" pivotButton="0" quotePrefix="0" xfId="0">
      <alignment vertical="center" wrapText="1"/>
    </xf>
    <xf numFmtId="0" fontId="2" fillId="3" borderId="61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62" applyAlignment="1" pivotButton="0" quotePrefix="0" xfId="0">
      <alignment vertical="center" wrapText="1"/>
    </xf>
    <xf numFmtId="0" fontId="2" fillId="3" borderId="63" applyAlignment="1" pivotButton="0" quotePrefix="0" xfId="0">
      <alignment vertical="center" wrapText="1"/>
    </xf>
    <xf numFmtId="0" fontId="2" fillId="3" borderId="64" applyAlignment="1" pivotButton="0" quotePrefix="0" xfId="0">
      <alignment vertical="center" wrapText="1"/>
    </xf>
    <xf numFmtId="0" fontId="2" fillId="3" borderId="65" applyAlignment="1" pivotButton="0" quotePrefix="0" xfId="0">
      <alignment vertical="center" wrapText="1"/>
    </xf>
    <xf numFmtId="1" fontId="2" fillId="3" borderId="70" applyAlignment="1" pivotButton="0" quotePrefix="0" xfId="0">
      <alignment vertical="center" wrapText="1"/>
    </xf>
    <xf numFmtId="164" fontId="2" fillId="3" borderId="70" applyAlignment="1" pivotButton="0" quotePrefix="0" xfId="0">
      <alignment vertical="center" wrapText="1"/>
    </xf>
    <xf numFmtId="0" fontId="2" fillId="3" borderId="67" applyAlignment="1" pivotButton="0" quotePrefix="0" xfId="0">
      <alignment vertical="center" wrapText="1"/>
    </xf>
    <xf numFmtId="0" fontId="0" fillId="0" borderId="68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3" fillId="3" borderId="71" applyAlignment="1" pivotButton="0" quotePrefix="0" xfId="0">
      <alignment vertical="center" wrapText="1"/>
    </xf>
    <xf numFmtId="0" fontId="2" fillId="3" borderId="72" applyAlignment="1" pivotButton="0" quotePrefix="0" xfId="0">
      <alignment vertical="center" wrapText="1"/>
    </xf>
    <xf numFmtId="0" fontId="2" fillId="3" borderId="73" applyAlignment="1" pivotButton="0" quotePrefix="0" xfId="0">
      <alignment vertical="center" wrapText="1"/>
    </xf>
    <xf numFmtId="0" fontId="2" fillId="3" borderId="74" applyAlignment="1" pivotButton="0" quotePrefix="0" xfId="0">
      <alignment vertical="center" wrapText="1"/>
    </xf>
    <xf numFmtId="0" fontId="2" fillId="3" borderId="75" applyAlignment="1" pivotButton="0" quotePrefix="0" xfId="0">
      <alignment vertical="center" wrapText="1"/>
    </xf>
    <xf numFmtId="0" fontId="2" fillId="3" borderId="76" applyAlignment="1" pivotButton="0" quotePrefix="0" xfId="0">
      <alignment vertical="center" wrapText="1"/>
    </xf>
    <xf numFmtId="0" fontId="2" fillId="3" borderId="77" applyAlignment="1" pivotButton="0" quotePrefix="0" xfId="0">
      <alignment vertical="center" wrapText="1"/>
    </xf>
    <xf numFmtId="0" fontId="2" fillId="3" borderId="78" applyAlignment="1" pivotButton="0" quotePrefix="0" xfId="0">
      <alignment vertical="center" wrapText="1"/>
    </xf>
    <xf numFmtId="2" fontId="2" fillId="3" borderId="57" applyAlignment="1" pivotButton="0" quotePrefix="0" xfId="0">
      <alignment vertical="center" wrapText="1"/>
    </xf>
    <xf numFmtId="165" fontId="2" fillId="3" borderId="57" applyAlignment="1" pivotButton="0" quotePrefix="0" xfId="0">
      <alignment vertical="center" wrapText="1"/>
    </xf>
    <xf numFmtId="2" fontId="2" fillId="3" borderId="70" applyAlignment="1" pivotButton="0" quotePrefix="0" xfId="0">
      <alignment vertical="center" wrapText="1"/>
    </xf>
    <xf numFmtId="165" fontId="2" fillId="3" borderId="70" applyAlignment="1" pivotButton="0" quotePrefix="0" xfId="0">
      <alignment vertical="center" wrapText="1"/>
    </xf>
    <xf numFmtId="10" fontId="2" fillId="3" borderId="57" applyAlignment="1" pivotButton="0" quotePrefix="0" xfId="0">
      <alignment vertical="center" wrapText="1"/>
    </xf>
    <xf numFmtId="0" fontId="3" fillId="3" borderId="54" applyAlignment="1" pivotButton="0" quotePrefix="0" xfId="0">
      <alignment vertical="center" wrapText="1"/>
    </xf>
    <xf numFmtId="0" fontId="2" fillId="3" borderId="55" applyAlignment="1" pivotButton="0" quotePrefix="0" xfId="0">
      <alignment vertical="center" wrapText="1"/>
    </xf>
    <xf numFmtId="0" fontId="2" fillId="3" borderId="56" applyAlignment="1" pivotButton="0" quotePrefix="0" xfId="0">
      <alignment vertical="center" wrapText="1"/>
    </xf>
    <xf numFmtId="10" fontId="2" fillId="3" borderId="70" applyAlignment="1" pivotButton="0" quotePrefix="0" xfId="0">
      <alignment vertical="center" wrapText="1"/>
    </xf>
    <xf numFmtId="0" fontId="3" fillId="3" borderId="67" applyAlignment="1" pivotButton="0" quotePrefix="0" xfId="0">
      <alignment vertical="center" wrapText="1"/>
    </xf>
    <xf numFmtId="0" fontId="2" fillId="3" borderId="68" applyAlignment="1" pivotButton="0" quotePrefix="0" xfId="0">
      <alignment vertical="center" wrapText="1"/>
    </xf>
    <xf numFmtId="0" fontId="2" fillId="3" borderId="69" applyAlignment="1" pivotButton="0" quotePrefix="0" xfId="0">
      <alignment vertical="center" wrapText="1"/>
    </xf>
    <xf numFmtId="0" fontId="63" fillId="45" borderId="79" xfId="0"/>
    <xf numFmtId="0" fontId="64" fillId="45" borderId="79" xfId="0" applyNumberFormat="1" applyFont="1" applyFill="1" applyBorder="1"/>
    <xf numFmtId="0" fontId="64" fillId="45" borderId="79" xfId="0" applyNumberFormat="1" applyFont="1" applyFill="1" applyBorder="1" applyAlignment="1">
      <alignment wrapText="1"/>
    </xf>
    <xf numFmtId="0" fontId="64" fillId="45" borderId="79" xfId="0" applyNumberFormat="1" applyFont="1" applyFill="1" applyBorder="1" applyAlignment="1">
      <alignment vertical="center" wrapText="1"/>
    </xf>
    <xf numFmtId="0" fontId="65" fillId="45" borderId="79" xfId="0" applyNumberFormat="1" applyFont="1" applyFill="1" applyBorder="1" applyAlignment="1">
      <alignment vertical="center" wrapText="1"/>
    </xf>
    <xf numFmtId="0" fontId="66" fillId="45" borderId="79" xfId="0" applyNumberFormat="1" applyFont="1" applyFill="1" applyBorder="1" applyAlignment="1">
      <alignment vertical="center" wrapText="1"/>
    </xf>
    <xf numFmtId="0" fontId="64" fillId="47" borderId="79" xfId="0" applyNumberFormat="1" applyFont="1" applyFill="1" applyBorder="1" applyAlignment="1">
      <alignment vertical="center" wrapText="1"/>
    </xf>
    <xf numFmtId="0" fontId="64" fillId="47" borderId="80" xfId="0" applyNumberFormat="1" applyFont="1" applyFill="1" applyBorder="1" applyAlignment="1">
      <alignment vertical="center" wrapText="1"/>
    </xf>
    <xf numFmtId="0" fontId="64" fillId="47" borderId="81" xfId="0" applyNumberFormat="1" applyFont="1" applyFill="1" applyBorder="1" applyAlignment="1">
      <alignment vertical="center" wrapText="1"/>
    </xf>
    <xf numFmtId="0" fontId="64" fillId="47" borderId="82" xfId="0" applyNumberFormat="1" applyFont="1" applyFill="1" applyBorder="1" applyAlignment="1">
      <alignment vertical="center" wrapText="1"/>
    </xf>
    <xf numFmtId="0" fontId="67" fillId="45" borderId="79" xfId="0" applyNumberFormat="1" applyFont="1" applyFill="1" applyBorder="1" applyAlignment="1">
      <alignment vertical="center" wrapText="1"/>
    </xf>
    <xf numFmtId="0" fontId="64" fillId="48" borderId="79" xfId="0" applyNumberFormat="1" applyFont="1" applyFill="1" applyBorder="1" applyAlignment="1">
      <alignment vertical="center" wrapText="1"/>
    </xf>
    <xf numFmtId="0" fontId="68" fillId="45" borderId="79" xfId="0" applyNumberFormat="1" applyFont="1" applyFill="1" applyBorder="1" applyAlignment="1">
      <alignment vertical="center" wrapText="1"/>
    </xf>
    <xf numFmtId="0" fontId="69" fillId="45" borderId="79" xfId="0" applyNumberFormat="1" applyFont="1" applyFill="1" applyBorder="1"/>
    <xf numFmtId="0" fontId="69" fillId="45" borderId="79" xfId="0" applyNumberFormat="1" applyFont="1" applyFill="1" applyBorder="1" applyAlignment="1">
      <alignment wrapText="1"/>
    </xf>
    <xf numFmtId="0" fontId="69" fillId="45" borderId="79" xfId="0" applyNumberFormat="1" applyFont="1" applyFill="1" applyBorder="1" applyAlignment="1">
      <alignment vertical="center" wrapText="1"/>
    </xf>
    <xf numFmtId="0" fontId="70" fillId="45" borderId="79" xfId="0" applyNumberFormat="1" applyFont="1" applyFill="1" applyBorder="1" applyAlignment="1">
      <alignment vertical="center" wrapText="1"/>
    </xf>
    <xf numFmtId="0" fontId="63" fillId="45" borderId="83" xfId="0" applyNumberFormat="1" applyFont="1" applyFill="1" applyBorder="1"/>
    <xf numFmtId="0" fontId="63" fillId="45" borderId="80" xfId="0" applyNumberFormat="1" applyFont="1" applyFill="1" applyBorder="1"/>
    <xf numFmtId="0" fontId="63" fillId="45" borderId="81" xfId="0" applyNumberFormat="1" applyFont="1" applyFill="1" applyBorder="1"/>
    <xf numFmtId="0" fontId="63" fillId="45" borderId="82" xfId="0" applyNumberFormat="1" applyFont="1" applyFill="1" applyBorder="1"/>
    <xf numFmtId="0" fontId="63" fillId="45" borderId="84" xfId="0" applyNumberFormat="1" applyFont="1" applyFill="1" applyBorder="1"/>
    <xf numFmtId="0" fontId="63" fillId="45" borderId="85" xfId="0" applyNumberFormat="1" applyFont="1" applyFill="1" applyBorder="1"/>
    <xf numFmtId="0" fontId="63" fillId="45" borderId="86" xfId="0" applyNumberFormat="1" applyFont="1" applyFill="1" applyBorder="1"/>
    <xf numFmtId="0" fontId="63" fillId="45" borderId="87" xfId="0" applyNumberFormat="1" applyFont="1" applyFill="1" applyBorder="1"/>
    <xf numFmtId="0" fontId="63" fillId="45" borderId="79" xfId="0" applyNumberFormat="1" applyFont="1" applyFill="1" applyBorder="1"/>
    <xf numFmtId="0" fontId="63" fillId="45" borderId="88" xfId="0" applyNumberFormat="1" applyFont="1" applyFill="1" applyBorder="1"/>
    <xf numFmtId="0" fontId="63" fillId="45" borderId="89" xfId="0" applyNumberFormat="1" applyFont="1" applyFill="1" applyBorder="1"/>
    <xf numFmtId="0" fontId="63" fillId="45" borderId="90" xfId="0" applyNumberFormat="1" applyFont="1" applyFill="1" applyBorder="1"/>
    <xf numFmtId="0" fontId="63" fillId="45" borderId="91" xfId="0" applyNumberFormat="1" applyFont="1" applyFill="1" applyBorder="1"/>
    <xf numFmtId="0" fontId="69" fillId="49" borderId="79" xfId="0" applyNumberFormat="1" applyFont="1" applyFill="1" applyBorder="1" applyAlignment="1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" fillId="0" borderId="0" applyAlignment="1" pivotButton="0" quotePrefix="0" xfId="0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7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70" applyAlignment="1" pivotButton="0" quotePrefix="0" xfId="0">
      <alignment vertical="center" wrapText="1"/>
    </xf>
    <xf numFmtId="0" fontId="2" fillId="3" borderId="67" applyAlignment="1" pivotButton="0" quotePrefix="0" xfId="0">
      <alignment vertical="center" wrapText="1"/>
    </xf>
    <xf numFmtId="0" fontId="0" fillId="0" borderId="68" applyAlignment="1" pivotButton="0" quotePrefix="0" xfId="0">
      <alignment vertical="center"/>
    </xf>
    <xf numFmtId="0" fontId="0" fillId="0" borderId="69" applyAlignment="1" pivotButton="0" quotePrefix="0" xfId="0">
      <alignment vertical="center"/>
    </xf>
    <xf numFmtId="0" fontId="3" fillId="3" borderId="71" applyAlignment="1" pivotButton="0" quotePrefix="0" xfId="0">
      <alignment vertical="center" wrapText="1"/>
    </xf>
    <xf numFmtId="0" fontId="2" fillId="3" borderId="72" applyAlignment="1" pivotButton="0" quotePrefix="0" xfId="0">
      <alignment vertical="center" wrapText="1"/>
    </xf>
    <xf numFmtId="0" fontId="2" fillId="3" borderId="73" applyAlignment="1" pivotButton="0" quotePrefix="0" xfId="0">
      <alignment vertical="center" wrapText="1"/>
    </xf>
    <xf numFmtId="0" fontId="2" fillId="3" borderId="74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75" applyAlignment="1" pivotButton="0" quotePrefix="0" xfId="0">
      <alignment vertical="center" wrapText="1"/>
    </xf>
    <xf numFmtId="0" fontId="2" fillId="3" borderId="76" applyAlignment="1" pivotButton="0" quotePrefix="0" xfId="0">
      <alignment vertical="center" wrapText="1"/>
    </xf>
    <xf numFmtId="0" fontId="2" fillId="3" borderId="77" applyAlignment="1" pivotButton="0" quotePrefix="0" xfId="0">
      <alignment vertical="center" wrapText="1"/>
    </xf>
    <xf numFmtId="0" fontId="2" fillId="3" borderId="78" applyAlignment="1" pivotButton="0" quotePrefix="0" xfId="0">
      <alignment vertical="center" wrapText="1"/>
    </xf>
    <xf numFmtId="1" fontId="2" fillId="3" borderId="83" applyAlignment="1" pivotButton="0" quotePrefix="0" xfId="0">
      <alignment vertical="center" wrapText="1"/>
    </xf>
    <xf numFmtId="164" fontId="2" fillId="3" borderId="83" applyAlignment="1" pivotButton="0" quotePrefix="0" xfId="0">
      <alignment vertical="center" wrapText="1"/>
    </xf>
    <xf numFmtId="0" fontId="2" fillId="3" borderId="80" applyAlignment="1" pivotButton="0" quotePrefix="0" xfId="0">
      <alignment vertical="center" wrapText="1"/>
    </xf>
    <xf numFmtId="0" fontId="0" fillId="0" borderId="81" applyAlignment="1" pivotButton="0" quotePrefix="0" xfId="0">
      <alignment vertical="center"/>
    </xf>
    <xf numFmtId="0" fontId="0" fillId="0" borderId="82" applyAlignment="1" pivotButton="0" quotePrefix="0" xfId="0">
      <alignment vertical="center"/>
    </xf>
    <xf numFmtId="0" fontId="3" fillId="3" borderId="84" applyAlignment="1" pivotButton="0" quotePrefix="0" xfId="0">
      <alignment vertical="center" wrapText="1"/>
    </xf>
    <xf numFmtId="0" fontId="2" fillId="3" borderId="85" applyAlignment="1" pivotButton="0" quotePrefix="0" xfId="0">
      <alignment vertical="center" wrapText="1"/>
    </xf>
    <xf numFmtId="0" fontId="2" fillId="3" borderId="86" applyAlignment="1" pivotButton="0" quotePrefix="0" xfId="0">
      <alignment vertical="center" wrapText="1"/>
    </xf>
    <xf numFmtId="0" fontId="2" fillId="3" borderId="87" applyAlignment="1" pivotButton="0" quotePrefix="0" xfId="0">
      <alignment vertical="center" wrapText="1"/>
    </xf>
    <xf numFmtId="0" fontId="2" fillId="3" borderId="88" applyAlignment="1" pivotButton="0" quotePrefix="0" xfId="0">
      <alignment vertical="center" wrapText="1"/>
    </xf>
    <xf numFmtId="0" fontId="2" fillId="3" borderId="89" applyAlignment="1" pivotButton="0" quotePrefix="0" xfId="0">
      <alignment vertical="center" wrapText="1"/>
    </xf>
    <xf numFmtId="0" fontId="2" fillId="3" borderId="90" applyAlignment="1" pivotButton="0" quotePrefix="0" xfId="0">
      <alignment vertical="center" wrapText="1"/>
    </xf>
    <xf numFmtId="0" fontId="2" fillId="3" borderId="91" applyAlignment="1" pivotButton="0" quotePrefix="0" xfId="0">
      <alignment vertical="center" wrapText="1"/>
    </xf>
    <xf numFmtId="2" fontId="2" fillId="3" borderId="70" applyAlignment="1" pivotButton="0" quotePrefix="0" xfId="0">
      <alignment vertical="center" wrapText="1"/>
    </xf>
    <xf numFmtId="165" fontId="2" fillId="3" borderId="70" applyAlignment="1" pivotButton="0" quotePrefix="0" xfId="0">
      <alignment vertical="center" wrapText="1"/>
    </xf>
    <xf numFmtId="2" fontId="2" fillId="3" borderId="83" applyAlignment="1" pivotButton="0" quotePrefix="0" xfId="0">
      <alignment vertical="center" wrapText="1"/>
    </xf>
    <xf numFmtId="165" fontId="2" fillId="3" borderId="83" applyAlignment="1" pivotButton="0" quotePrefix="0" xfId="0">
      <alignment vertical="center" wrapText="1"/>
    </xf>
    <xf numFmtId="10" fontId="2" fillId="3" borderId="70" applyAlignment="1" pivotButton="0" quotePrefix="0" xfId="0">
      <alignment vertical="center" wrapText="1"/>
    </xf>
    <xf numFmtId="0" fontId="3" fillId="3" borderId="67" applyAlignment="1" pivotButton="0" quotePrefix="0" xfId="0">
      <alignment vertical="center" wrapText="1"/>
    </xf>
    <xf numFmtId="0" fontId="2" fillId="3" borderId="68" applyAlignment="1" pivotButton="0" quotePrefix="0" xfId="0">
      <alignment vertical="center" wrapText="1"/>
    </xf>
    <xf numFmtId="0" fontId="2" fillId="3" borderId="69" applyAlignment="1" pivotButton="0" quotePrefix="0" xfId="0">
      <alignment vertical="center" wrapText="1"/>
    </xf>
    <xf numFmtId="10" fontId="2" fillId="3" borderId="83" applyAlignment="1" pivotButton="0" quotePrefix="0" xfId="0">
      <alignment vertical="center" wrapText="1"/>
    </xf>
    <xf numFmtId="0" fontId="3" fillId="3" borderId="80" applyAlignment="1" pivotButton="0" quotePrefix="0" xfId="0">
      <alignment vertical="center" wrapText="1"/>
    </xf>
    <xf numFmtId="0" fontId="2" fillId="3" borderId="81" applyAlignment="1" pivotButton="0" quotePrefix="0" xfId="0">
      <alignment vertical="center" wrapText="1"/>
    </xf>
    <xf numFmtId="0" fontId="2" fillId="3" borderId="82" applyAlignment="1" pivotButton="0" quotePrefix="0" xfId="0">
      <alignment vertical="center" wrapText="1"/>
    </xf>
    <xf numFmtId="0" fontId="71" fillId="50" borderId="0" applyAlignment="1" pivotButton="0" quotePrefix="0" xfId="0" applyFont="1" applyFill="1">
      <alignment vertical="center" wrapText="1"/>
    </xf>
    <xf numFmtId="0" fontId="72" fillId="51" borderId="0" applyAlignment="1" pivotButton="0" quotePrefix="0" xfId="0" applyFont="1" applyFill="1">
      <alignment vertical="center" wrapText="1"/>
    </xf>
    <xf numFmtId="0" fontId="73" fillId="52" borderId="0" applyAlignment="1" pivotButton="0" quotePrefix="0" xfId="0" applyFont="1" applyFill="1">
      <alignment vertical="center" wrapText="1"/>
    </xf>
    <xf numFmtId="0" fontId="74" fillId="53" borderId="0" applyAlignment="1" pivotButton="0" quotePrefix="0" xfId="0" applyFont="1" applyFill="1">
      <alignment vertical="center" wrapText="1"/>
    </xf>
    <xf numFmtId="0" fontId="28" fillId="54" borderId="0" applyAlignment="1" pivotButton="0" quotePrefix="0" xfId="0" applyFont="1" applyFill="1">
      <alignment vertical="center" wrapText="1"/>
    </xf>
    <xf numFmtId="0" fontId="75" fillId="55" borderId="92" xfId="0"/>
    <xf numFmtId="0" fontId="76" fillId="55" borderId="92" xfId="0" applyNumberFormat="1" applyFont="1" applyFill="1" applyBorder="1"/>
    <xf numFmtId="0" fontId="76" fillId="55" borderId="92" xfId="0" applyNumberFormat="1" applyFont="1" applyFill="1" applyBorder="1" applyAlignment="1">
      <alignment wrapText="1"/>
    </xf>
    <xf numFmtId="0" fontId="76" fillId="55" borderId="92" xfId="0" applyNumberFormat="1" applyFont="1" applyFill="1" applyBorder="1" applyAlignment="1">
      <alignment vertical="center" wrapText="1"/>
    </xf>
    <xf numFmtId="0" fontId="77" fillId="55" borderId="92" xfId="0" applyNumberFormat="1" applyFont="1" applyFill="1" applyBorder="1" applyAlignment="1">
      <alignment vertical="center" wrapText="1"/>
    </xf>
    <xf numFmtId="0" fontId="78" fillId="55" borderId="92" xfId="0" applyNumberFormat="1" applyFont="1" applyFill="1" applyBorder="1" applyAlignment="1">
      <alignment vertical="center" wrapText="1"/>
    </xf>
    <xf numFmtId="0" fontId="76" fillId="57" borderId="92" xfId="0" applyNumberFormat="1" applyFont="1" applyFill="1" applyBorder="1" applyAlignment="1">
      <alignment vertical="center" wrapText="1"/>
    </xf>
    <xf numFmtId="0" fontId="76" fillId="57" borderId="93" xfId="0" applyNumberFormat="1" applyFont="1" applyFill="1" applyBorder="1" applyAlignment="1">
      <alignment vertical="center" wrapText="1"/>
    </xf>
    <xf numFmtId="0" fontId="76" fillId="57" borderId="94" xfId="0" applyNumberFormat="1" applyFont="1" applyFill="1" applyBorder="1" applyAlignment="1">
      <alignment vertical="center" wrapText="1"/>
    </xf>
    <xf numFmtId="0" fontId="76" fillId="57" borderId="95" xfId="0" applyNumberFormat="1" applyFont="1" applyFill="1" applyBorder="1" applyAlignment="1">
      <alignment vertical="center" wrapText="1"/>
    </xf>
    <xf numFmtId="0" fontId="79" fillId="55" borderId="92" xfId="0" applyNumberFormat="1" applyFont="1" applyFill="1" applyBorder="1" applyAlignment="1">
      <alignment vertical="center" wrapText="1"/>
    </xf>
    <xf numFmtId="0" fontId="76" fillId="58" borderId="92" xfId="0" applyNumberFormat="1" applyFont="1" applyFill="1" applyBorder="1" applyAlignment="1">
      <alignment vertical="center" wrapText="1"/>
    </xf>
    <xf numFmtId="0" fontId="80" fillId="55" borderId="92" xfId="0" applyNumberFormat="1" applyFont="1" applyFill="1" applyBorder="1" applyAlignment="1">
      <alignment vertical="center" wrapText="1"/>
    </xf>
    <xf numFmtId="0" fontId="81" fillId="55" borderId="92" xfId="0" applyNumberFormat="1" applyFont="1" applyFill="1" applyBorder="1"/>
    <xf numFmtId="0" fontId="81" fillId="55" borderId="92" xfId="0" applyNumberFormat="1" applyFont="1" applyFill="1" applyBorder="1" applyAlignment="1">
      <alignment wrapText="1"/>
    </xf>
    <xf numFmtId="0" fontId="81" fillId="55" borderId="92" xfId="0" applyNumberFormat="1" applyFont="1" applyFill="1" applyBorder="1" applyAlignment="1">
      <alignment vertical="center" wrapText="1"/>
    </xf>
    <xf numFmtId="0" fontId="82" fillId="55" borderId="92" xfId="0" applyNumberFormat="1" applyFont="1" applyFill="1" applyBorder="1" applyAlignment="1">
      <alignment vertical="center" wrapText="1"/>
    </xf>
    <xf numFmtId="0" fontId="75" fillId="55" borderId="96" xfId="0" applyNumberFormat="1" applyFont="1" applyFill="1" applyBorder="1"/>
    <xf numFmtId="0" fontId="75" fillId="55" borderId="93" xfId="0" applyNumberFormat="1" applyFont="1" applyFill="1" applyBorder="1"/>
    <xf numFmtId="0" fontId="75" fillId="55" borderId="94" xfId="0" applyNumberFormat="1" applyFont="1" applyFill="1" applyBorder="1"/>
    <xf numFmtId="0" fontId="75" fillId="55" borderId="95" xfId="0" applyNumberFormat="1" applyFont="1" applyFill="1" applyBorder="1"/>
    <xf numFmtId="0" fontId="75" fillId="55" borderId="97" xfId="0" applyNumberFormat="1" applyFont="1" applyFill="1" applyBorder="1"/>
    <xf numFmtId="0" fontId="75" fillId="55" borderId="98" xfId="0" applyNumberFormat="1" applyFont="1" applyFill="1" applyBorder="1"/>
    <xf numFmtId="0" fontId="75" fillId="55" borderId="99" xfId="0" applyNumberFormat="1" applyFont="1" applyFill="1" applyBorder="1"/>
    <xf numFmtId="0" fontId="75" fillId="55" borderId="100" xfId="0" applyNumberFormat="1" applyFont="1" applyFill="1" applyBorder="1"/>
    <xf numFmtId="0" fontId="75" fillId="55" borderId="92" xfId="0" applyNumberFormat="1" applyFont="1" applyFill="1" applyBorder="1"/>
    <xf numFmtId="0" fontId="75" fillId="55" borderId="101" xfId="0" applyNumberFormat="1" applyFont="1" applyFill="1" applyBorder="1"/>
    <xf numFmtId="0" fontId="75" fillId="55" borderId="102" xfId="0" applyNumberFormat="1" applyFont="1" applyFill="1" applyBorder="1"/>
    <xf numFmtId="0" fontId="75" fillId="55" borderId="103" xfId="0" applyNumberFormat="1" applyFont="1" applyFill="1" applyBorder="1"/>
    <xf numFmtId="0" fontId="75" fillId="55" borderId="104" xfId="0" applyNumberFormat="1" applyFont="1" applyFill="1" applyBorder="1"/>
    <xf numFmtId="0" fontId="81" fillId="59" borderId="92" xfId="0" applyNumberFormat="1" applyFont="1" applyFill="1" applyBorder="1" applyAlignment="1">
      <alignment vertical="center" wrapText="1"/>
    </xf>
    <xf numFmtId="0" fontId="27" fillId="15" borderId="0" applyAlignment="1" pivotButton="0" quotePrefix="0" xfId="0" applyFont="1" applyFill="1">
      <alignment vertical="center" wrapText="1"/>
    </xf>
    <xf numFmtId="0" fontId="2" fillId="0" borderId="0" applyAlignment="1" pivotButton="0" quotePrefix="0" xfId="0">
      <alignment vertical="center" wrapText="1"/>
    </xf>
    <xf numFmtId="0" fontId="28" fillId="16" borderId="0" applyAlignment="1" pivotButton="0" quotePrefix="0" xfId="0" applyFont="1" applyFill="1">
      <alignment vertical="center" wrapText="1"/>
    </xf>
    <xf numFmtId="0" fontId="29" fillId="17" borderId="0" applyAlignment="1" pivotButton="0" quotePrefix="0" xfId="0" applyFont="1" applyFill="1">
      <alignment vertical="center" wrapText="1"/>
    </xf>
    <xf numFmtId="0" fontId="30" fillId="18" borderId="0" applyAlignment="1" pivotButton="0" quotePrefix="0" xfId="0" applyFont="1" applyFill="1">
      <alignment vertical="center" wrapText="1"/>
    </xf>
    <xf numFmtId="0" fontId="2" fillId="19" borderId="0" applyAlignment="1" pivotButton="0" quotePrefix="0" xfId="0" applyFill="1">
      <alignment vertical="center" wrapText="1"/>
    </xf>
    <xf numFmtId="0" fontId="2" fillId="2" borderId="0" applyAlignment="1" pivotButton="0" quotePrefix="0" xfId="0">
      <alignment vertical="center" wrapText="1"/>
    </xf>
    <xf numFmtId="1" fontId="2" fillId="3" borderId="8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164" fontId="2" fillId="3" borderId="83" applyAlignment="1" pivotButton="0" quotePrefix="0" xfId="0">
      <alignment vertical="center" wrapText="1"/>
    </xf>
    <xf numFmtId="0" fontId="2" fillId="3" borderId="80" applyAlignment="1" pivotButton="0" quotePrefix="0" xfId="0">
      <alignment vertical="center" wrapText="1"/>
    </xf>
    <xf numFmtId="0" fontId="0" fillId="0" borderId="81" applyAlignment="1" pivotButton="0" quotePrefix="0" xfId="0">
      <alignment vertical="center"/>
    </xf>
    <xf numFmtId="0" fontId="0" fillId="0" borderId="82" applyAlignment="1" pivotButton="0" quotePrefix="0" xfId="0">
      <alignment vertical="center"/>
    </xf>
    <xf numFmtId="0" fontId="3" fillId="3" borderId="84" applyAlignment="1" pivotButton="0" quotePrefix="0" xfId="0">
      <alignment vertical="center" wrapText="1"/>
    </xf>
    <xf numFmtId="0" fontId="2" fillId="3" borderId="85" applyAlignment="1" pivotButton="0" quotePrefix="0" xfId="0">
      <alignment vertical="center" wrapText="1"/>
    </xf>
    <xf numFmtId="0" fontId="2" fillId="3" borderId="86" applyAlignment="1" pivotButton="0" quotePrefix="0" xfId="0">
      <alignment vertical="center" wrapText="1"/>
    </xf>
    <xf numFmtId="0" fontId="2" fillId="3" borderId="87" applyAlignment="1" pivotButton="0" quotePrefix="0" xfId="0">
      <alignment vertical="center" wrapText="1"/>
    </xf>
    <xf numFmtId="0" fontId="2" fillId="3" borderId="9" applyAlignment="1" pivotButton="0" quotePrefix="0" xfId="0">
      <alignment vertical="center" wrapText="1"/>
    </xf>
    <xf numFmtId="0" fontId="2" fillId="3" borderId="88" applyAlignment="1" pivotButton="0" quotePrefix="0" xfId="0">
      <alignment vertical="center" wrapText="1"/>
    </xf>
    <xf numFmtId="0" fontId="2" fillId="3" borderId="89" applyAlignment="1" pivotButton="0" quotePrefix="0" xfId="0">
      <alignment vertical="center" wrapText="1"/>
    </xf>
    <xf numFmtId="0" fontId="2" fillId="3" borderId="90" applyAlignment="1" pivotButton="0" quotePrefix="0" xfId="0">
      <alignment vertical="center" wrapText="1"/>
    </xf>
    <xf numFmtId="0" fontId="2" fillId="3" borderId="91" applyAlignment="1" pivotButton="0" quotePrefix="0" xfId="0">
      <alignment vertical="center" wrapText="1"/>
    </xf>
    <xf numFmtId="1" fontId="2" fillId="3" borderId="96" applyAlignment="1" pivotButton="0" quotePrefix="0" xfId="0">
      <alignment vertical="center" wrapText="1"/>
    </xf>
    <xf numFmtId="164" fontId="2" fillId="3" borderId="96" applyAlignment="1" pivotButton="0" quotePrefix="0" xfId="0">
      <alignment vertical="center" wrapText="1"/>
    </xf>
    <xf numFmtId="0" fontId="2" fillId="3" borderId="93" applyAlignment="1" pivotButton="0" quotePrefix="0" xfId="0">
      <alignment vertical="center" wrapText="1"/>
    </xf>
    <xf numFmtId="0" fontId="0" fillId="0" borderId="94" applyAlignment="1" pivotButton="0" quotePrefix="0" xfId="0">
      <alignment vertical="center"/>
    </xf>
    <xf numFmtId="0" fontId="0" fillId="0" borderId="95" applyAlignment="1" pivotButton="0" quotePrefix="0" xfId="0">
      <alignment vertical="center"/>
    </xf>
    <xf numFmtId="0" fontId="3" fillId="3" borderId="97" applyAlignment="1" pivotButton="0" quotePrefix="0" xfId="0">
      <alignment vertical="center" wrapText="1"/>
    </xf>
    <xf numFmtId="0" fontId="2" fillId="3" borderId="98" applyAlignment="1" pivotButton="0" quotePrefix="0" xfId="0">
      <alignment vertical="center" wrapText="1"/>
    </xf>
    <xf numFmtId="0" fontId="2" fillId="3" borderId="99" applyAlignment="1" pivotButton="0" quotePrefix="0" xfId="0">
      <alignment vertical="center" wrapText="1"/>
    </xf>
    <xf numFmtId="0" fontId="2" fillId="3" borderId="100" applyAlignment="1" pivotButton="0" quotePrefix="0" xfId="0">
      <alignment vertical="center" wrapText="1"/>
    </xf>
    <xf numFmtId="0" fontId="2" fillId="3" borderId="101" applyAlignment="1" pivotButton="0" quotePrefix="0" xfId="0">
      <alignment vertical="center" wrapText="1"/>
    </xf>
    <xf numFmtId="0" fontId="2" fillId="3" borderId="102" applyAlignment="1" pivotButton="0" quotePrefix="0" xfId="0">
      <alignment vertical="center" wrapText="1"/>
    </xf>
    <xf numFmtId="0" fontId="2" fillId="3" borderId="103" applyAlignment="1" pivotButton="0" quotePrefix="0" xfId="0">
      <alignment vertical="center" wrapText="1"/>
    </xf>
    <xf numFmtId="0" fontId="2" fillId="3" borderId="104" applyAlignment="1" pivotButton="0" quotePrefix="0" xfId="0">
      <alignment vertical="center" wrapText="1"/>
    </xf>
    <xf numFmtId="2" fontId="2" fillId="3" borderId="83" applyAlignment="1" pivotButton="0" quotePrefix="0" xfId="0">
      <alignment vertical="center" wrapText="1"/>
    </xf>
    <xf numFmtId="165" fontId="2" fillId="3" borderId="83" applyAlignment="1" pivotButton="0" quotePrefix="0" xfId="0">
      <alignment vertical="center" wrapText="1"/>
    </xf>
    <xf numFmtId="2" fontId="2" fillId="3" borderId="96" applyAlignment="1" pivotButton="0" quotePrefix="0" xfId="0">
      <alignment vertical="center" wrapText="1"/>
    </xf>
    <xf numFmtId="165" fontId="2" fillId="3" borderId="96" applyAlignment="1" pivotButton="0" quotePrefix="0" xfId="0">
      <alignment vertical="center" wrapText="1"/>
    </xf>
    <xf numFmtId="10" fontId="2" fillId="3" borderId="83" applyAlignment="1" pivotButton="0" quotePrefix="0" xfId="0">
      <alignment vertical="center" wrapText="1"/>
    </xf>
    <xf numFmtId="0" fontId="3" fillId="3" borderId="80" applyAlignment="1" pivotButton="0" quotePrefix="0" xfId="0">
      <alignment vertical="center" wrapText="1"/>
    </xf>
    <xf numFmtId="0" fontId="2" fillId="3" borderId="81" applyAlignment="1" pivotButton="0" quotePrefix="0" xfId="0">
      <alignment vertical="center" wrapText="1"/>
    </xf>
    <xf numFmtId="0" fontId="2" fillId="3" borderId="82" applyAlignment="1" pivotButton="0" quotePrefix="0" xfId="0">
      <alignment vertical="center" wrapText="1"/>
    </xf>
    <xf numFmtId="10" fontId="2" fillId="3" borderId="96" applyAlignment="1" pivotButton="0" quotePrefix="0" xfId="0">
      <alignment vertical="center" wrapText="1"/>
    </xf>
    <xf numFmtId="0" fontId="3" fillId="3" borderId="93" applyAlignment="1" pivotButton="0" quotePrefix="0" xfId="0">
      <alignment vertical="center" wrapText="1"/>
    </xf>
    <xf numFmtId="0" fontId="2" fillId="3" borderId="94" applyAlignment="1" pivotButton="0" quotePrefix="0" xfId="0">
      <alignment vertical="center" wrapText="1"/>
    </xf>
    <xf numFmtId="0" fontId="2" fillId="3" borderId="95" applyAlignment="1" pivotButton="0" quotePrefix="0" xfId="0">
      <alignment vertical="center" wrapText="1"/>
    </xf>
    <xf numFmtId="0" fontId="83" fillId="60" borderId="0" applyAlignment="1" pivotButton="0" quotePrefix="0" xfId="0" applyFont="1" applyFill="1">
      <alignment vertical="center" wrapText="1"/>
    </xf>
    <xf numFmtId="0" fontId="84" fillId="61" borderId="0" applyAlignment="1" pivotButton="0" quotePrefix="0" xfId="0" applyFont="1" applyFill="1">
      <alignment vertical="center" wrapText="1"/>
    </xf>
    <xf numFmtId="0" fontId="85" fillId="62" borderId="0" applyAlignment="1" pivotButton="0" quotePrefix="0" xfId="0" applyFont="1" applyFill="1">
      <alignment vertical="center" wrapText="1"/>
    </xf>
    <xf numFmtId="0" fontId="86" fillId="63" borderId="0" applyAlignment="1" pivotButton="0" quotePrefix="0" xfId="0" applyFont="1" applyFill="1">
      <alignment vertical="center" wrapText="1"/>
    </xf>
    <xf numFmtId="0" fontId="28" fillId="64" borderId="0" applyAlignment="1" pivotButton="0" quotePrefix="0" xfId="0" applyFont="1" applyFill="1">
      <alignment vertical="center" wrapText="1"/>
    </xf>
    <xf numFmtId="0" fontId="87" fillId="65" borderId="0" applyAlignment="1" pivotButton="0" quotePrefix="0" xfId="0" applyFont="1" applyFill="1">
      <alignment vertical="center" wrapText="1"/>
    </xf>
    <xf numFmtId="0" fontId="88" fillId="66" borderId="0" applyAlignment="1" pivotButton="0" quotePrefix="0" xfId="0" applyFont="1" applyFill="1">
      <alignment vertical="center" wrapText="1"/>
    </xf>
    <xf numFmtId="0" fontId="89" fillId="67" borderId="0" applyAlignment="1" pivotButton="0" quotePrefix="0" xfId="0" applyFont="1" applyFill="1">
      <alignment vertical="center" wrapText="1"/>
    </xf>
    <xf numFmtId="0" fontId="90" fillId="68" borderId="0" applyAlignment="1" pivotButton="0" quotePrefix="0" xfId="0" applyFont="1" applyFill="1">
      <alignment vertical="center" wrapText="1"/>
    </xf>
    <xf numFmtId="0" fontId="28" fillId="69" borderId="0" applyAlignment="1" pivotButton="0" quotePrefix="0" xfId="0" applyFont="1" applyFill="1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Target Population and Sampling Frame
Why: Count the invited subset of the recorded frame before evaluating missing invitation outcomes.
How: Count each exact invited status in Pickups[invitation_status], then add the two counts.
Read the result: A count of invited pickups, not a count of all recorded pickups.
Watch out: Counting respondents alone excludes invited nonrespondents.
Already formatted: Number, 0 decimals, pickups; unrelated formatting example only: stored 7 displays as 7 pickups. This is not a check value. Enter the formula and press Enter.</t>
      </text>
    </comment>
    <comment ref="B8" authorId="0" shapeId="0">
      <text>
        <t>Lecture connection: Nonresponse Sensitivity Bounds
Why: Establish the observed-outcome denominator for the respondent delay rate.
How: Count respondent rows with delay_flag zero and a nonblank outcome, then add respondent rows with delay_flag one.
How: The nonblank condition prevents a blank outcome from satisfying the zero criterion. Status alone does not establish eligibility.
Read the result: The number of responding pickups with a recorded binary delay outcome.
Watch out: A numeric zero criterion can match blank cells; require a nonblank outcome in the zero branch. Missing outcomes are not on-time pickups.
Already formatted: Number, 0 decimals, pickups; unrelated formatting example only: stored 7 displays as 7 pickups. This is not a check value. Enter the formula and press Enter.</t>
      </text>
    </comment>
    <comment ref="B9" authorId="0" shapeId="0">
      <text>
        <t>Lecture connection: Nonresponse Sensitivity Bounds
Why: Find the recorded delayed outcomes used in both the respondent rate and invitation scenarios.
How: Count rows jointly meeting responded status and delay_flag equal to 1.
Read the result: A count of recorded delayed respondents, not all invited pickups.
Watch out: Counting 1s without applying the respondent-status criterion.
Already formatted: Number, 0 decimals, pickups; unrelated formatting example only: stored 7 displays as 7 pickups. This is not a check value. Enter the formula and press Enter.</t>
      </text>
    </comment>
    <comment ref="B10" authorId="0" shapeId="0">
      <text>
        <t>Lecture connection: Nonresponse Sensitivity Bounds
Why: Measure delay among respondents whose outcomes were actually observed.
How: B9 is recorded delayed respondents; B8 is eligible respondents with observed 0 or 1 outcomes.
Read the result: A fraction displayed as a percent of eligible respondents, not a rate for the entire frame.
Watch out: Using all invitations as this respondent rate's denominator or multiplying by 100 before Percent format.
Already formatted: Percentage, 1 decimal, percent of eligible respondents; unrelated formatting example only: stored 0.125 displays as 12.5%. This is not a check value. Enter the formula and press Enter.</t>
      </text>
    </comment>
    <comment ref="B11" authorId="0" shapeId="0">
      <text>
        <t>Lecture connection: Nonresponse Sensitivity Bounds
Why: Bound the invited-group delay share if no unobserved invited outcome was delayed.
How: B9 supplies recorded delays; B7 includes both invited statuses in the denominator.
Read the result: A hypothetical lower scenario for the invited group, not a confidence limit.
Watch out: Dividing by observed responses instead of invitations.
Already formatted: Percentage, 1 decimal, percent of invited pickups; unrelated formatting example only: stored 0.125 displays as 12.5%. This is not a check value. Enter the formula and press Enter.</t>
      </text>
    </comment>
    <comment ref="B12" authorId="0" shapeId="0">
      <text>
        <t>Lecture connection: Nonresponse Sensitivity Bounds
Why: Bound the invited-group delay share if every invited outcome not observed as 0 or 1 was delayed.
How: B7−B8 counts invited outcomes without an observed binary response.
How: Add that count to recorded delays B9, then divide by all invitations B7.
Read the result: A hypothetical upper scenario for the invited group, not an estimated probability of nonresponse.
Watch out: Adding all blank flags from the frame, including not-invited rows.
Already formatted: Percentage, 1 decimal, percent of invited pickups; unrelated formatting example only: stored 0.125 displays as 12.5%. This is not a check value. Enter the formula and press Enter.</t>
      </text>
    </comment>
  </commentList>
</comments>
</file>

<file path=xl/comments/comment2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Student t Confidence Interval for a Mean
Why: Find the center of the interval addressing the VP's mean-duration question.
How: AVERAGE uses numeric values in Pickups[duration] and excludes actual blanks.
Read the result: A sample mean in minutes for observed durations, not every pickup's duration.
Watch out: Replacing blank durations with zero.
Already formatted: Number, 2 decimals, minutes; unrelated formatting example only: stored 7.256 displays as 7.26 minutes. This is not a check value. Enter the formula and press Enter.</t>
      </text>
    </comment>
    <comment ref="B8" authorId="0" shapeId="0">
      <text>
        <t>Lecture connection: Standard Error of the Mean
Why: Estimate observed individual-duration spread before calculating uncertainty in the sample mean.
How: STDEV.S uses observed numeric durations and the sample n−1 denominator.
Read the result: Sample SD describes spread of individual durations in minutes.
Watch out: Using STDEV.P or interpreting SD as the standard error.
Already formatted: Number, 2 decimals, minutes; unrelated formatting example only: stored 7.256 displays as 7.26 minutes. This is not a check value. Enter the formula and press Enter.</t>
      </text>
    </comment>
    <comment ref="B9" authorId="0" shapeId="0">
      <text>
        <t>Lecture connection: Standard Error of the Mean
Why: Measure sampling uncertainty in the observed mean used for the duration interval.
How: B8 is sample SD; COUNT gives the observed numeric duration denominator.
How: SQRT takes that count's square root before division.
Read the result: Standard error of a sample mean, in minutes.
Watch out: Dividing sample SD by n instead of √n.
Already formatted: Number, 2 decimals, minutes; unrelated formatting example only: stored 7.256 displays as 7.26 minutes. This is not a check value. Enter the formula and press Enter.</t>
      </text>
    </comment>
    <comment ref="B10" authorId="0" shapeId="0">
      <text>
        <t>Lecture connection: Student t Confidence Interval for a Mean
Why: Calculate the lower plausible mean-duration limit for comparison with the service target.
How: Subtract the margin, unitless t multiplier B12 times minute-valued SE B9, from mean B7.
Read the result: Lower limit for a population mean duration, in minutes.
Watch out: Reading it as a minimum observed or individual pickup duration.
Already formatted: Number, 2 decimals, minutes; unrelated formatting example only: stored 7.256 displays as 7.26 minutes. This is not a check value. Enter the formula and press Enter.</t>
      </text>
    </comment>
    <comment ref="B11" authorId="0" shapeId="0">
      <text>
        <t>Lecture connection: Student t Confidence Interval for a Mean
Why: Calculate the upper plausible mean-duration limit for comparison with the service target.
How: Add the same t-times-SE margin to observed mean B7.
Read the result: Upper limit for a population mean duration, in minutes.
Watch out: Calling this an upper limit for individual pickups.
Already formatted: Number, 2 decimals, minutes; unrelated formatting example only: stored 7.256 displays as 7.26 minutes. This is not a check value. Enter the formula and press Enter.</t>
      </text>
    </comment>
    <comment ref="B12" authorId="0" shapeId="0">
      <text>
        <t>Lecture connection: Student t Confidence Interval for a Mean
Why: Set the critical multiplier for a two-sided 95% mean interval when population SD is unknown.
How: 0.05 is the combined two-tail alpha.
How: COUNT of observed durations minus one supplies degrees of freedom.
Read the result: A unitless multiplier, not an amount of time or a p-value.
Watch out: Using n rather than n−1 degrees of freedom or a one-tailed critical value.
Already formatted: Number, 4 decimals, unitless; unrelated formatting example only: stored 1.23456 displays as 1.2346. This is not a check value. Enter the formula and press Enter.</t>
      </text>
    </comment>
  </commentList>
</comments>
</file>

<file path=xl/comments/comment3.xml><?xml version="1.0" encoding="utf-8"?>
<comments xmlns="http://schemas.openxmlformats.org/spreadsheetml/2006/main">
  <authors>
    <author>Lab guidance</author>
  </authors>
  <commentList>
    <comment ref="B7" authorId="0" shapeId="0">
      <text>
        <t>Lecture connection: Confidence Interval for a Population Proportion
Why: Establish the observed binary-outcome denominator for the delay-share interval.
How: Count respondent rows with delay_flag zero and a nonblank outcome, then add respondent rows with delay_flag one.
How: The nonblank condition prevents a blank outcome from satisfying the zero criterion. Status alone does not establish eligibility.
Read the result: Count of eligible completed binary observations, not invitations.
Watch out: A numeric zero criterion can match blank cells; require a nonblank outcome in the zero branch. Missing outcomes are not on-time pickups.
Already formatted: Number, 0 decimals, pickups; unrelated formatting example only: stored 7 displays as 7 pickups. This is not a check value. Enter the formula and press Enter.</t>
      </text>
    </comment>
    <comment ref="B8" authorId="0" shapeId="0">
      <text>
        <t>Lecture connection: Confidence Interval for a Population Proportion
Why: Count the observed events in the eligible respondent group.
How: COUNTIFS combines responded status with the recorded 1 outcome on the same row.
Read the result: Count of recorded delayed-pickup events.
Watch out: Changing the case’s 50-minute delay definition or counting missing outcomes as on-time.
Already formatted: Number, 0 decimals, pickups; unrelated formatting example only: stored 7 displays as 7 pickups. This is not a check value. Enter the formula and press Enter.</t>
      </text>
    </comment>
    <comment ref="B9" authorId="0" shapeId="0">
      <text>
        <t>Lecture connection: Confidence Interval for a Population Proportion
Why: Estimate the event share among pickups with usable observed outcomes.
How: B8 is observed 1s; B7 is observed 0s plus 1s among respondents.
Read the result: A stored fraction displayed as a percentage of eligible outcomes.
Watch out: Multiplying by 100 and then applying Percentage format.
Already formatted: Percentage, 1 decimal, percent of eligible recorded outcomes; unrelated formatting example only: stored 0.125 displays as 12.5%. This is not a check value. Enter the formula and press Enter.</t>
      </text>
    </comment>
    <comment ref="B10" authorId="0" shapeId="0">
      <text>
        <t>Lecture connection: Confidence Interval for a Population Proportion
Why: Calculate the lower normal-approximation limit for the underlying delay share.
How: B9 is the observed share; B7 is the eligible denominator inside the standard error.
How: 1.96 multiplies that SE for a two-sided 95% margin, which is subtracted.
Read the result: Lower share limit; a proportion difference from a guardrail is measured in percentage points.
Watch out: Using all invitations as the observed-outcome denominator.
Already formatted: Percentage, 2 decimals, percent of eligible recorded outcomes; unrelated formatting example only: stored 0.125 displays as 12.50%. This is not a check value. Enter the formula and press Enter.</t>
      </text>
    </comment>
    <comment ref="B11" authorId="0" shapeId="0">
      <text>
        <t>Lecture connection: Confidence Interval for a Population Proportion
Why: Calculate the upper normal-approximation limit for the underlying delay share.
How: Add 1.96 times the observed-share standard error to B9; B7 is the eligible count.
Read the result: Upper share limit, displayed as percent of eligible outcomes.
Watch out: Treating a 95% interval as proof of an operational or causal effect.
Already formatted: Percentage, 2 decimals, percent of eligible recorded outcomes; unrelated formatting example only: stored 0.125 displays as 12.50%. This is not a check value. Enter the formula and press Enter.</t>
      </text>
    </comment>
    <comment ref="B12" authorId="0" shapeId="0">
      <text>
        <t>Lecture connection: Sample Size Planning for Precision
Why: Plan completed binary observations for a four-percentage-point margin under the taught sampling assumptions.
How: 1.96 is the two-sided 95% normal multiplier; B9 supplies the planning share and 1−B9 its complement.
How: Divide by squared margin 0.04, then CEILING.MATH rounds up to a whole completed observation.
Read the result: A target for usable completed observations, not the number of invitations or a bias correction.
Watch out: Rounding down or treating a four-percentage-point margin as a 4% relative change.
Already formatted: Number, 0 decimals, completed pickups; unrelated formatting example only: stored 7 displays as 7 completed pickups. This is not a check value. Enter the formula and press Enter.</t>
      </text>
    </comment>
  </commentList>
</comments>
</file>

<file path=xl/tables/table1.xml><?xml version="1.0" encoding="utf-8"?>
<table xmlns="http://schemas.openxmlformats.org/spreadsheetml/2006/main" id="1" name="Pickups" displayName="Pickups" ref="A1:E2401" headerRowCount="1">
  <autoFilter ref="A1:E2401"/>
  <tableColumns count="5">
    <tableColumn id="1" name="pickup_id"/>
    <tableColumn id="2" name="invitation_status"/>
    <tableColumn id="3" name="delay_flag"/>
    <tableColumn id="4" name="slow_flag"/>
    <tableColumn id="5" name="duration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29"/>
  <sheetViews>
    <sheetView showGridLines="0" workbookViewId="0" zoomScale="100">
      <selection activeCell="A1" sqref="A1"/>
    </sheetView>
  </sheetViews>
  <sheetFormatPr baseColWidth="8" defaultRowHeight="15"/>
  <cols>
    <col min="1" max="1" width="15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  <col min="6" max="6" width="15" hidden="0" customWidth="1"/>
    <col min="7" max="7" width="15" hidden="0" customWidth="1"/>
    <col min="8" max="8" width="15" hidden="0" customWidth="1"/>
  </cols>
  <sheetData>
    <row r="1" ht="30" customHeight="1">
      <c r="A1" s="531" t="str">
        <v>Welcome to S05P</v>
      </c>
      <c r="B1" s="531"/>
      <c r="C1" s="531"/>
      <c r="D1" s="531"/>
      <c r="E1" s="531"/>
      <c r="F1" s="531"/>
      <c r="G1" s="531"/>
      <c r="H1" s="531"/>
    </row>
    <row r="2" ht="34" customHeight="1">
      <c r="A2" s="530" t="str">
        <v>Does Cedar Loop's pickup delay rate warrant immediate permanent staffing or a bounded audit pilot?</v>
      </c>
      <c r="B2" s="530"/>
      <c r="C2" s="530"/>
      <c r="D2" s="530"/>
      <c r="E2" s="530"/>
      <c r="F2" s="530"/>
      <c r="G2" s="530"/>
      <c r="H2" s="530"/>
    </row>
    <row r="3">
      <c r="A3" s="530"/>
      <c r="B3" s="530"/>
      <c r="C3" s="530"/>
      <c r="D3" s="530"/>
      <c r="E3" s="530"/>
      <c r="F3" s="530"/>
      <c r="G3" s="530"/>
      <c r="H3" s="530"/>
    </row>
    <row r="4" ht="25" customHeight="1">
      <c r="A4" s="532" t="str">
        <v>1. Your details</v>
      </c>
      <c r="B4" s="532"/>
      <c r="C4" s="532"/>
      <c r="D4" s="532"/>
      <c r="E4" s="532"/>
      <c r="F4" s="532"/>
      <c r="G4" s="532"/>
      <c r="H4" s="532"/>
    </row>
    <row r="5" ht="22" customHeight="1">
      <c r="A5" s="532" t="str">
        <v>First name</v>
      </c>
      <c r="B5" s="532"/>
      <c r="C5" s="532"/>
      <c r="D5" s="532" t="str">
        <v>Last name</v>
      </c>
      <c r="E5" s="532"/>
      <c r="F5" s="532"/>
      <c r="G5" s="532" t="str">
        <v>NYU NetID</v>
      </c>
      <c r="H5" s="532"/>
    </row>
    <row r="6" ht="30" customHeight="1">
      <c r="A6" s="534"/>
      <c r="B6" s="535"/>
      <c r="C6" s="536"/>
      <c r="D6" s="534"/>
      <c r="E6" s="535"/>
      <c r="F6" s="536"/>
      <c r="G6" s="534"/>
      <c r="H6" s="536"/>
    </row>
    <row r="7" ht="38" customHeight="1">
      <c r="A7" s="530" t="str">
        <v>Your NetID is the username before @nyu.edu in your NYU email address. For example, jd1234@nyu.edu uses jd1234. Enter only the NetID here.</v>
      </c>
      <c r="B7" s="530"/>
      <c r="C7" s="530"/>
      <c r="D7" s="530"/>
      <c r="E7" s="530"/>
      <c r="F7" s="530"/>
      <c r="G7" s="530"/>
      <c r="H7" s="530"/>
    </row>
    <row r="8" ht="40" customHeight="1">
      <c r="A8" s="537" t="str">
        <v>Use your own details. For example only: first name Jane, last name Doe, NetID jd1234 gives S05P_Jane_Doe_jd1234.xlsx. Keep hyphens in names; filenames omit spaces and unsupported punctuation.</v>
      </c>
      <c r="B8" s="537"/>
      <c r="C8" s="537"/>
      <c r="D8" s="537"/>
      <c r="E8" s="537"/>
      <c r="F8" s="537"/>
      <c r="G8" s="537"/>
      <c r="H8" s="537"/>
    </row>
    <row r="9">
      <c r="A9" s="530"/>
      <c r="B9" s="530"/>
      <c r="C9" s="530"/>
      <c r="D9" s="530"/>
      <c r="E9" s="530"/>
      <c r="F9" s="530"/>
      <c r="G9" s="530"/>
      <c r="H9" s="530"/>
    </row>
    <row r="10" ht="25" customHeight="1">
      <c r="A10" s="532" t="str">
        <v>2. Your working filenames</v>
      </c>
      <c r="B10" s="532"/>
      <c r="C10" s="532"/>
      <c r="D10" s="532"/>
      <c r="E10" s="532"/>
      <c r="F10" s="532"/>
      <c r="G10" s="532"/>
      <c r="H10" s="532"/>
    </row>
    <row r="11" ht="38" customHeight="1">
      <c r="A11" s="538" t="str">
        <f>IF(OR(LEN(TRIM(A6))=0,LEN(TRIM(D6))=0,LEN(TRIM(G6))=0),"Enter all three fields above to show your filenames.",IF(OR(ISNUMBER(SEARCH("@",G6)),ISNUMBER(SEARCH(" ",TRIM(G6))),AND(LEFT(UPPER(TRIM(G6)),1)="N",ISNUMBER(IFERROR(VALUE(MID(TRIM(G6),2,99)),"")))),"Enter only your NYU NetID, not your full email address or N-number.","Use File &gt; Save As with the workbook name below. Optional SPSS working copies may use the matching names."))</f>
        <v>Enter all three fields above to show your filenames.</v>
      </c>
      <c r="B11" s="538"/>
      <c r="C11" s="538"/>
      <c r="D11" s="538"/>
      <c r="E11" s="538"/>
      <c r="F11" s="538"/>
      <c r="G11" s="538"/>
      <c r="H11" s="538"/>
    </row>
    <row r="12">
      <c r="A12" s="530"/>
      <c r="B12" s="530"/>
      <c r="C12" s="530"/>
      <c r="D12" s="530"/>
      <c r="E12" s="530"/>
      <c r="F12" s="530"/>
      <c r="G12" s="530"/>
      <c r="H12" s="530"/>
    </row>
    <row r="13" ht="26" customHeight="1">
      <c r="A13" s="532" t="str">
        <v>Excel workbook</v>
      </c>
      <c r="B13" s="532"/>
      <c r="C13" s="538" t="str">
        <f>IF(LEFT(A11,3)="Use","S05P_"&amp;SUBSTITUTE(SUBSTITUTE(SUBSTITUTE(SUBSTITUTE(SUBSTITUTE(SUBSTITUTE(SUBSTITUTE(SUBSTITUTE(SUBSTITUTE(SUBSTITUTE(TRIM(A6),"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",""),"/",""),"\",""),":",""),"*",""),"?",""),"""",""),"&lt;",""),"&gt;",""),"|","")&amp;"_"&amp;LOWER(TRIM(G6))&amp;".xlsx","")</f>
      </c>
      <c r="D13" s="538"/>
      <c r="E13" s="538"/>
      <c r="F13" s="538"/>
      <c r="G13" s="538"/>
      <c r="H13" s="538"/>
    </row>
    <row r="14" ht="26" customHeight="1">
      <c r="A14" s="532" t="str">
        <v>SPSS syntax</v>
      </c>
      <c r="B14" s="532"/>
      <c r="C14" s="538" t="str">
        <f>IF(LEFT(A11,3)="Use","S05P_"&amp;SUBSTITUTE(SUBSTITUTE(SUBSTITUTE(SUBSTITUTE(SUBSTITUTE(SUBSTITUTE(SUBSTITUTE(SUBSTITUTE(SUBSTITUTE(SUBSTITUTE(TRIM(A6),"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",""),"/",""),"\",""),":",""),"*",""),"?",""),"""",""),"&lt;",""),"&gt;",""),"|","")&amp;"_"&amp;LOWER(TRIM(G6))&amp;".sps","")</f>
      </c>
      <c r="D14" s="538"/>
      <c r="E14" s="538"/>
      <c r="F14" s="538"/>
      <c r="G14" s="538"/>
      <c r="H14" s="538"/>
    </row>
    <row r="15" ht="26" customHeight="1">
      <c r="A15" s="532" t="str">
        <v>SPSS output</v>
      </c>
      <c r="B15" s="532"/>
      <c r="C15" s="538" t="str">
        <f>IF(LEFT(A11,3)="Use","S05P_"&amp;SUBSTITUTE(SUBSTITUTE(SUBSTITUTE(SUBSTITUTE(SUBSTITUTE(SUBSTITUTE(SUBSTITUTE(SUBSTITUTE(SUBSTITUTE(SUBSTITUTE(TRIM(A6)," ",""),"/",""),"\",""),":",""),"*",""),"?",""),"""",""),"&lt;",""),"&gt;",""),"|","")&amp;"_"&amp;SUBSTITUTE(SUBSTITUTE(SUBSTITUTE(SUBSTITUTE(SUBSTITUTE(SUBSTITUTE(SUBSTITUTE(SUBSTITUTE(SUBSTITUTE(SUBSTITUTE(TRIM(D6)," ",""),"/",""),"\",""),":",""),"*",""),"?",""),"""",""),"&lt;",""),"&gt;",""),"|","")&amp;"_"&amp;LOWER(TRIM(G6))&amp;".spv","")</f>
      </c>
      <c r="D15" s="538"/>
      <c r="E15" s="538"/>
      <c r="F15" s="538"/>
      <c r="G15" s="538"/>
      <c r="H15" s="538"/>
    </row>
    <row r="16">
      <c r="A16" s="530"/>
      <c r="B16" s="530"/>
      <c r="C16" s="530"/>
      <c r="D16" s="530"/>
      <c r="E16" s="530"/>
      <c r="F16" s="530"/>
      <c r="G16" s="530"/>
      <c r="H16" s="530"/>
    </row>
    <row r="17">
      <c r="A17" s="530"/>
      <c r="B17" s="530"/>
      <c r="C17" s="530"/>
      <c r="D17" s="530"/>
      <c r="E17" s="530"/>
      <c r="F17" s="530"/>
      <c r="G17" s="530"/>
      <c r="H17" s="530"/>
    </row>
    <row r="18">
      <c r="A18" s="530"/>
      <c r="B18" s="530"/>
      <c r="C18" s="530"/>
      <c r="D18" s="530"/>
      <c r="E18" s="530"/>
      <c r="F18" s="530"/>
      <c r="G18" s="530"/>
      <c r="H18" s="530"/>
    </row>
    <row r="19" ht="38" customHeight="1">
      <c r="A19" s="530" t="str">
        <v>Save one personalized workbook for this ungraded practice. SPSS syntax and output copies are optional working evidence. No memo, upload, submission or deadline is required.</v>
      </c>
      <c r="B19" s="530"/>
      <c r="C19" s="530"/>
      <c r="D19" s="530"/>
      <c r="E19" s="530"/>
      <c r="F19" s="530"/>
      <c r="G19" s="530"/>
      <c r="H19" s="530"/>
    </row>
    <row r="20">
      <c r="A20" s="530"/>
      <c r="B20" s="530"/>
      <c r="C20" s="530"/>
      <c r="D20" s="530"/>
      <c r="E20" s="530"/>
      <c r="F20" s="530"/>
      <c r="G20" s="530"/>
      <c r="H20" s="530"/>
    </row>
    <row r="21" ht="25" customHeight="1">
      <c r="A21" s="532" t="str">
        <v>3. Learn, check and save</v>
      </c>
      <c r="B21" s="532"/>
      <c r="C21" s="532"/>
      <c r="D21" s="532"/>
      <c r="E21" s="532"/>
      <c r="F21" s="532"/>
      <c r="G21" s="532"/>
      <c r="H21" s="532"/>
    </row>
    <row r="22" ht="42" customHeight="1">
      <c r="A22" s="530" t="str">
        <v>Yellow cells are for your work. Read the study-help column beside response rows for relevant slides, concise toolkit pages and an optional question you can ask AI.</v>
      </c>
      <c r="B22" s="530"/>
      <c r="C22" s="530"/>
      <c r="D22" s="530"/>
      <c r="E22" s="530"/>
      <c r="F22" s="530"/>
      <c r="G22" s="530"/>
      <c r="H22" s="530"/>
    </row>
    <row r="23" ht="38" customHeight="1">
      <c r="A23" s="530" t="str">
        <v>AI help is optional and follows the lab’s permitted-use timing. Ask for a different practice example and check its explanation. This practice has no submission.</v>
      </c>
      <c r="B23" s="530"/>
      <c r="C23" s="530"/>
      <c r="D23" s="530"/>
      <c r="E23" s="530"/>
      <c r="F23" s="530"/>
      <c r="G23" s="530"/>
      <c r="H23" s="530"/>
    </row>
    <row r="24" ht="38" customHeight="1">
      <c r="A24" s="530" t="str">
        <v>Use the guide for exact software steps. A matching number still needs an explanation. Save at each checkpoint. Your filenames update here, but this sheet does not rename or submit files.</v>
      </c>
      <c r="B24" s="530"/>
      <c r="C24" s="530"/>
      <c r="D24" s="530"/>
      <c r="E24" s="530"/>
      <c r="F24" s="530"/>
      <c r="G24" s="530"/>
      <c r="H24" s="530"/>
    </row>
    <row r="25">
      <c r="A25" s="530"/>
      <c r="B25" s="530"/>
      <c r="C25" s="530"/>
      <c r="D25" s="530"/>
      <c r="E25" s="530"/>
      <c r="F25" s="530"/>
      <c r="G25" s="530"/>
      <c r="H25" s="530"/>
    </row>
    <row r="26" ht="25" customHeight="1">
      <c r="A26" s="532" t="str">
        <v>Open a Part</v>
      </c>
      <c r="B26" s="532"/>
      <c r="C26" s="532"/>
      <c r="D26" s="532"/>
      <c r="E26" s="532"/>
      <c r="F26" s="532"/>
      <c r="G26" s="532"/>
      <c r="H26" s="532"/>
    </row>
    <row r="27" ht="34" customHeight="1">
      <c r="A27" s="539" t="inlineStr">
        <is>
          <t>IN-CLASS_Lab Part A: Sampling Frame and Nonresponse Audit</t>
        </is>
      </c>
      <c r="B27" s="539"/>
      <c r="C27" s="539"/>
      <c r="D27" s="539"/>
      <c r="E27" s="539"/>
      <c r="F27" s="539"/>
      <c r="G27" s="539"/>
      <c r="H27" s="539"/>
    </row>
    <row r="28" ht="34" customHeight="1">
      <c r="A28" s="539" t="inlineStr">
        <is>
          <t>IN-CLASS_Lab Part B: Duration Estimation and Confidence Intervals</t>
        </is>
      </c>
      <c r="B28" s="539"/>
      <c r="C28" s="539"/>
      <c r="D28" s="539"/>
      <c r="E28" s="539"/>
      <c r="F28" s="539"/>
      <c r="G28" s="539"/>
      <c r="H28" s="539"/>
    </row>
    <row r="29" ht="34" customHeight="1">
      <c r="A29" s="539" t="inlineStr">
        <is>
          <t>IN-CLASS_Lab Part C: Proportion Confidence Interval and Sample Size Planning</t>
        </is>
      </c>
      <c r="B29" s="539"/>
      <c r="C29" s="539"/>
      <c r="D29" s="539"/>
      <c r="E29" s="539"/>
      <c r="F29" s="539"/>
      <c r="G29" s="539"/>
      <c r="H29" s="539"/>
    </row>
    <row r="30">
      <c r="A30" s="530"/>
      <c r="B30" s="530"/>
      <c r="C30" s="530"/>
      <c r="D30" s="530"/>
      <c r="E30" s="530"/>
      <c r="F30" s="530"/>
      <c r="G30" s="530"/>
      <c r="H30" s="530"/>
    </row>
    <row r="31">
      <c r="A31" s="530"/>
      <c r="B31" s="530"/>
      <c r="C31" s="530"/>
      <c r="D31" s="530"/>
      <c r="E31" s="530"/>
      <c r="F31" s="530"/>
      <c r="G31" s="530"/>
      <c r="H31" s="530"/>
    </row>
    <row r="32">
      <c r="A32" s="530"/>
      <c r="B32" s="530"/>
      <c r="C32" s="530"/>
      <c r="D32" s="530"/>
      <c r="E32" s="530"/>
      <c r="F32" s="530"/>
      <c r="G32" s="530"/>
      <c r="H32" s="530"/>
    </row>
    <row r="33">
      <c r="A33" s="530"/>
      <c r="B33" s="530"/>
      <c r="C33" s="530"/>
      <c r="D33" s="530"/>
      <c r="E33" s="530"/>
      <c r="F33" s="530"/>
      <c r="G33" s="530"/>
      <c r="H33" s="530"/>
    </row>
    <row r="34">
      <c r="A34" s="530"/>
      <c r="B34" s="530"/>
      <c r="C34" s="530"/>
      <c r="D34" s="530"/>
      <c r="E34" s="530"/>
      <c r="F34" s="530"/>
      <c r="G34" s="530"/>
      <c r="H34" s="530"/>
    </row>
  </sheetData>
  <mergeCells>
    <mergeCell ref="A1:H1"/>
    <mergeCell ref="A2:H2"/>
    <mergeCell ref="A4:H4"/>
    <mergeCell ref="A5:C5"/>
    <mergeCell ref="D5:F5"/>
    <mergeCell ref="G5:H5"/>
    <mergeCell ref="A6:C6"/>
    <mergeCell ref="D6:F6"/>
    <mergeCell ref="G6:H6"/>
    <mergeCell ref="A7:H7"/>
    <mergeCell ref="A8:H8"/>
    <mergeCell ref="A10:H10"/>
    <mergeCell ref="A11:H11"/>
    <mergeCell ref="A13:B13"/>
    <mergeCell ref="A14:B14"/>
    <mergeCell ref="A15:B15"/>
    <mergeCell ref="A19:H19"/>
    <mergeCell ref="A21:H21"/>
    <mergeCell ref="A22:H22"/>
    <mergeCell ref="A23:H23"/>
    <mergeCell ref="A24:H24"/>
    <mergeCell ref="A26:H26"/>
    <mergeCell ref="C13:H13"/>
    <mergeCell ref="C14:H14"/>
    <mergeCell ref="C15:H15"/>
    <mergeCell ref="A27:H27"/>
    <mergeCell ref="A28:H28"/>
    <mergeCell ref="A29:H29"/>
  </mergeCells>
  <hyperlinks>
    <hyperlink ref="A27" location="'IN-CLASS_Lab Part A'!A1"/>
    <hyperlink ref="A28" location="'IN-CLASS_Lab Part B'!A1"/>
    <hyperlink ref="A29" location="'IN-CLASS_Lab Part C'!A1"/>
  </hyperlink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3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min="9" max="9" width="58" customWidth="1"/>
  </cols>
  <sheetData>
    <row r="1" ht="30" customHeight="1">
      <c r="A1" s="558" t="inlineStr">
        <is>
          <t xml:space="preserve">Part A · Sampling Frame and Nonresponse Audit    ⏱ 10 min · from slide 28 → back to slide 29</t>
        </is>
      </c>
      <c r="B1" s="559" t="n"/>
      <c r="C1" s="559" t="n"/>
      <c r="D1" s="559" t="n"/>
      <c r="E1" s="559" t="n"/>
      <c r="F1" s="559" t="n"/>
      <c r="G1" s="559" t="n"/>
      <c r="H1" s="559" t="n"/>
      <c r="I1" s="542"/>
    </row>
    <row r="2" ht="34" customHeight="1">
      <c r="A2" s="560" t="inlineStr">
        <is>
          <t xml:space="preserve">What you're using · Section 1: A target population is the complete group of decision interest, while the sampling frame is the concrete operational list used to draw units.   Reread: Slides 9–28; Concise Toolkit pp. 4-10; Full Toolkit pp. 4-22</t>
        </is>
      </c>
      <c r="B2" s="559" t="n"/>
      <c r="C2" s="559" t="n"/>
      <c r="D2" s="559" t="n"/>
      <c r="E2" s="559" t="n"/>
      <c r="F2" s="559" t="n"/>
      <c r="G2" s="559" t="n"/>
      <c r="H2" s="559" t="n"/>
      <c r="I2" s="542"/>
    </row>
    <row r="3" ht="30" customHeight="1">
      <c r="A3" s="561" t="inlineStr">
        <is>
          <t xml:space="preserve">N = \text{Total audited frame units}</t>
        </is>
      </c>
      <c r="B3" s="559" t="n"/>
      <c r="C3" s="559" t="n"/>
      <c r="D3" s="559" t="n"/>
      <c r="E3" s="559" t="n"/>
      <c r="F3" s="559" t="n"/>
      <c r="G3" s="559" t="n"/>
      <c r="H3" s="559" t="n"/>
      <c r="I3" s="542"/>
    </row>
    <row r="4" ht="22" customHeight="1">
      <c r="A4" s="562" t="str">
        <f>"Progress: "&amp;COUNTIF(B21:B26,"✓ Checked")&amp;" of 6 checked. Save after each ✓."</f>
      </c>
      <c r="B4" s="559" t="n"/>
      <c r="C4" s="559" t="n"/>
      <c r="D4" s="559" t="n"/>
      <c r="E4" s="559" t="n"/>
      <c r="F4" s="559" t="n"/>
      <c r="G4" s="559" t="n"/>
      <c r="H4" s="559" t="n"/>
      <c r="I4" s="542"/>
    </row>
    <row r="5" ht="30" customHeight="1">
      <c r="A5" s="563" t="inlineStr">
        <is>
          <t xml:space="preserve">Open 'IN-CLASS_Lab Part A'!B7.  Save the same S05P_FirstName_LastName_NetID.xlsx workbook.</t>
        </is>
      </c>
      <c r="B5" s="559" t="n"/>
      <c r="C5" s="559" t="n"/>
      <c r="D5" s="559" t="n"/>
      <c r="E5" s="559" t="n"/>
      <c r="F5" s="559" t="n"/>
      <c r="G5" s="559" t="n"/>
      <c r="H5" s="559" t="n"/>
      <c r="I5" s="543" t="str">
        <v>Study help (optional)
Read the pages, then use the AI question if useful.</v>
      </c>
    </row>
    <row r="6">
      <c r="A6" s="559" t="n"/>
      <c r="B6" s="559" t="n"/>
      <c r="C6" s="559" t="n"/>
      <c r="D6" s="559" t="n"/>
      <c r="E6" s="559" t="n"/>
      <c r="F6" s="559" t="n"/>
      <c r="G6" s="559" t="n"/>
      <c r="H6" s="559" t="n"/>
      <c r="I6" s="543"/>
    </row>
    <row r="7" ht="90.0" customHeight="1">
      <c r="A7" s="564" t="inlineStr">
        <is>
          <t xml:space="preserve">1 · Invited pickups</t>
        </is>
      </c>
      <c r="B7" s="582" t="n"/>
      <c r="C7" s="566">
        <f>IFERROR(IF(OR(ISBLANK(B7)),"Not started",IF(AND(ABS(B7-(125))&lt;=1e-09),"Result matches","Check the result")),"Formula error")</f>
        <v/>
      </c>
      <c r="D7" s="567" t="n"/>
      <c r="E7" s="568" t="inlineStr">
        <is>
          <t>Invited pickups. Practice check: 125; use the cell's stated units. Counting respondents alone excludes invited nonrespondents.</t>
        </is>
      </c>
      <c r="F7" s="567" t="n"/>
      <c r="G7" s="567" t="n"/>
      <c r="H7" s="567" t="n"/>
      <c r="I7" s="557" t="str">
        <v>B7: Slides 10-11. Concise Toolkit pp. 3-9
After-class AI question: Explain Target Population and Sampling Frame. Use a different example, then ask me one check question.</v>
      </c>
    </row>
    <row r="8" ht="90.0" customHeight="1">
      <c r="A8" s="564" t="inlineStr">
        <is>
          <t xml:space="preserve">2 · Eligible respondents</t>
        </is>
      </c>
      <c r="B8" s="582" t="n"/>
      <c r="C8" s="566">
        <f>IFERROR(IF(OR(ISBLANK(B8)),"Not started",IF(AND(ABS(B8-(100))&lt;=1e-09),"Result matches","Check the result")),"Formula error")</f>
        <v/>
      </c>
      <c r="D8" s="567" t="n"/>
      <c r="E8" s="568" t="inlineStr">
        <is>
          <t>Eligible respondents. Practice check: 100; use the cell's stated units. A numeric zero criterion can match blank cells; require a nonblank outcome in the zero branch. Missing outcomes are not on-time pickups.</t>
        </is>
      </c>
      <c r="F8" s="567" t="n"/>
      <c r="G8" s="567" t="n"/>
      <c r="H8" s="567" t="n"/>
      <c r="I8" s="557" t="str">
        <v>B8: Slides 21-23. Concise Toolkit pp. 3-9
After-class AI question: Explain Nonresponse Sensitivity Bounds. Use a different example, then ask me one check question.</v>
      </c>
    </row>
    <row r="9" ht="90.0" customHeight="1">
      <c r="A9" s="564" t="inlineStr">
        <is>
          <t xml:space="preserve">3 · Delayed respondents</t>
        </is>
      </c>
      <c r="B9" s="582" t="n"/>
      <c r="C9" s="566">
        <f>IFERROR(IF(OR(ISBLANK(B9)),"Not started",IF(AND(ABS(B9-(24))&lt;=1e-09),"Result matches","Check the result")),"Formula error")</f>
        <v/>
      </c>
      <c r="D9" s="567" t="n"/>
      <c r="E9" s="568" t="inlineStr">
        <is>
          <t>Delayed respondents. Practice check: 24; use the cell's stated units. Counting 1s without applying the respondent-status criterion.</t>
        </is>
      </c>
      <c r="F9" s="567" t="n"/>
      <c r="G9" s="567" t="n"/>
      <c r="H9" s="567" t="n"/>
      <c r="I9" s="557" t="str">
        <v>B9: Slides 21-23. Concise Toolkit pp. 3-9
After-class AI question: Explain Nonresponse Sensitivity Bounds. Use a different example, then ask me one check question.</v>
      </c>
    </row>
    <row r="10" ht="90.0" customHeight="1">
      <c r="A10" s="564" t="inlineStr">
        <is>
          <t xml:space="preserve">4 · Respondent delay rate</t>
        </is>
      </c>
      <c r="B10" s="583" t="n"/>
      <c r="C10" s="566">
        <f>IFERROR(IF(OR(ISBLANK(B10)),"Not started",IF(AND(ABS(B10-(0.24))&lt;=0.0015),"Result matches","Check the result")),"Formula error")</f>
        <v/>
      </c>
      <c r="D10" s="567" t="n"/>
      <c r="E10" s="568" t="inlineStr">
        <is>
          <t xml:space="preserve">Respondent delay rate. Practice check: 24.0%; use the cell's stated units. Using all invitations as this respondent rate's denominator or multiplying by 100 before Percent format.</t>
        </is>
      </c>
      <c r="F10" s="567" t="n"/>
      <c r="G10" s="567" t="n"/>
      <c r="H10" s="567" t="n"/>
      <c r="I10" s="557" t="str">
        <v>B10: Slides 21-23. Concise Toolkit pp. 3-9
After-class AI question: Explain Nonresponse Sensitivity Bounds. Use a different example, then ask me one check question.</v>
      </c>
    </row>
    <row r="11" ht="90.0" customHeight="1">
      <c r="A11" s="564" t="inlineStr">
        <is>
          <t xml:space="preserve">5 · Best-case invitation bound</t>
        </is>
      </c>
      <c r="B11" s="583" t="n"/>
      <c r="C11" s="566">
        <f>IFERROR(IF(OR(ISBLANK(B11)),"Not started",IF(AND(ABS(B11-(0.192))&lt;=0.0015),"Result matches","Check the result")),"Formula error")</f>
        <v/>
      </c>
      <c r="D11" s="567" t="n"/>
      <c r="E11" s="568" t="inlineStr">
        <is>
          <t xml:space="preserve">Best-case invitation bound. Practice check: 19.2%; use the cell's stated units. Dividing by observed responses instead of invitations.</t>
        </is>
      </c>
      <c r="F11" s="567" t="n"/>
      <c r="G11" s="567" t="n"/>
      <c r="H11" s="567" t="n"/>
      <c r="I11" s="557" t="str">
        <v>B11: Slides 21-23. Concise Toolkit pp. 3-9
After-class AI question: Explain Nonresponse Sensitivity Bounds. Use a different example, then ask me one check question.</v>
      </c>
    </row>
    <row r="12" ht="90.0" customHeight="1">
      <c r="A12" s="564" t="inlineStr">
        <is>
          <t xml:space="preserve">6 · Worst-case invitation bound</t>
        </is>
      </c>
      <c r="B12" s="583" t="n"/>
      <c r="C12" s="566">
        <f>IFERROR(IF(OR(ISBLANK(B12)),"Not started",IF(AND(ABS(B12-(0.392))&lt;=0.0015),"Result matches","Check the result")),"Formula error")</f>
        <v/>
      </c>
      <c r="D12" s="567" t="n"/>
      <c r="E12" s="568" t="inlineStr">
        <is>
          <t xml:space="preserve">Worst-case invitation bound. Practice check: 39.2%; use the cell's stated units. Adding all blank flags from the frame, including not-invited rows.</t>
        </is>
      </c>
      <c r="F12" s="567" t="n"/>
      <c r="G12" s="567" t="n"/>
      <c r="H12" s="567" t="n"/>
      <c r="I12" s="557" t="str">
        <v>B12: Slides 21-23. Concise Toolkit pp. 3-9
After-class AI question: Explain Nonresponse Sensitivity Bounds. Use a different example, then ask me one check question.</v>
      </c>
    </row>
    <row r="13">
      <c r="A13" s="559" t="n"/>
      <c r="B13" s="559" t="n"/>
      <c r="C13" s="559" t="n"/>
      <c r="D13" s="559" t="n"/>
      <c r="E13" s="559" t="n"/>
      <c r="F13" s="559" t="n"/>
      <c r="G13" s="559" t="n"/>
      <c r="H13" s="559" t="n"/>
      <c r="I13" s="542"/>
    </row>
    <row r="14" ht="90.0" customHeight="1">
      <c r="A14" s="564" t="inlineStr">
        <is>
          <t>Select an interpretation</t>
        </is>
      </c>
      <c r="B14" s="584" t="n"/>
      <c r="C14" s="585" t="n"/>
      <c r="D14" s="585" t="n"/>
      <c r="E14" s="585" t="n"/>
      <c r="F14" s="585" t="n"/>
      <c r="G14" s="585" t="n"/>
      <c r="H14" s="586" t="n"/>
      <c r="I14" s="557" t="str">
        <v>B14: Slides 10-11. Concise Toolkit pp. 3-9
After-class AI question: Explain Sampling Frame and Nonresponse Audit. Use a different example, then ask me one check question.</v>
      </c>
    </row>
    <row r="15" ht="30" customHeight="1">
      <c r="A15" s="564" t="inlineStr">
        <is>
          <t>Your denominator-based reason</t>
        </is>
      </c>
      <c r="B15" s="587" t="inlineStr">
        <is>
          <t>[Replace with your reason: identify the respondent denominator, invitation denominator and what remains unobserved.]</t>
        </is>
      </c>
      <c r="C15" s="588" t="n"/>
      <c r="D15" s="588" t="n"/>
      <c r="E15" s="588" t="n"/>
      <c r="F15" s="588" t="n"/>
      <c r="G15" s="588" t="n"/>
      <c r="H15" s="589" t="n"/>
      <c r="I15" s="557" t="str">
        <v>B15: Slides 10-11. Concise Toolkit pp. 3-9
After-class AI question: Explain Sampling Frame and Nonresponse Audit. Use a different example, then ask me one check question.</v>
      </c>
    </row>
    <row r="16" ht="30" customHeight="1">
      <c r="A16" s="559" t="n"/>
      <c r="B16" s="590" t="n"/>
      <c r="C16" s="577" t="n"/>
      <c r="D16" s="577" t="n"/>
      <c r="E16" s="577" t="n"/>
      <c r="F16" s="577" t="n"/>
      <c r="G16" s="577" t="n"/>
      <c r="H16" s="591" t="n"/>
      <c r="I16" s="557"/>
    </row>
    <row r="17" ht="30" customHeight="1">
      <c r="A17" s="559" t="n"/>
      <c r="B17" s="592" t="n"/>
      <c r="C17" s="593" t="n"/>
      <c r="D17" s="593" t="n"/>
      <c r="E17" s="593" t="n"/>
      <c r="F17" s="593" t="n"/>
      <c r="G17" s="593" t="n"/>
      <c r="H17" s="594" t="n"/>
      <c r="I17" s="557"/>
    </row>
    <row r="18">
      <c r="A18" s="559" t="n"/>
      <c r="B18" s="559" t="n"/>
      <c r="C18" s="559" t="n"/>
      <c r="D18" s="559" t="n"/>
      <c r="E18" s="559" t="n"/>
      <c r="F18" s="559" t="n"/>
      <c r="G18" s="559" t="n"/>
      <c r="H18" s="559" t="n"/>
      <c r="I18" s="542"/>
    </row>
    <row r="19">
      <c r="A19" s="559" t="n"/>
      <c r="B19" s="559" t="n"/>
      <c r="C19" s="559" t="n"/>
      <c r="D19" s="559" t="n"/>
      <c r="E19" s="559" t="n"/>
      <c r="F19" s="559" t="n"/>
      <c r="G19" s="559" t="n"/>
      <c r="H19" s="559" t="n"/>
      <c r="I19" s="542"/>
    </row>
    <row r="20">
      <c r="A20" s="559" t="inlineStr">
        <is>
          <t>Check your work</t>
        </is>
      </c>
      <c r="B20" s="559" t="inlineStr">
        <is>
          <t>Status</t>
        </is>
      </c>
      <c r="C20" s="559" t="n"/>
      <c r="D20" s="559" t="n"/>
      <c r="E20" s="559" t="n"/>
      <c r="F20" s="559" t="n"/>
      <c r="G20" s="559" t="n"/>
      <c r="H20" s="559" t="n"/>
      <c r="I20" s="542"/>
    </row>
    <row r="21">
      <c r="A21" s="559" t="inlineStr">
        <is>
          <t>A invited</t>
        </is>
      </c>
      <c r="B21" s="559">
        <f>IFERROR(IF(OR(ISBLANK('IN-CLASS_Lab Part A'!B7)),"Not started",IF(AND(ABS('IN-CLASS_Lab Part A'!B7-(125))&lt;=1e-09),"✓ Checked","Check the result")),"Formula error")</f>
        <v/>
      </c>
      <c r="C21" s="559" t="n"/>
      <c r="D21" s="559" t="n"/>
      <c r="E21" s="559" t="n"/>
      <c r="F21" s="559" t="n"/>
      <c r="G21" s="559" t="n"/>
      <c r="H21" s="559" t="n"/>
      <c r="I21" s="542"/>
    </row>
    <row r="22">
      <c r="A22" s="559" t="inlineStr">
        <is>
          <t>A eligible</t>
        </is>
      </c>
      <c r="B22" s="559">
        <f>IFERROR(IF(OR(ISBLANK('IN-CLASS_Lab Part A'!B8)),"Not started",IF(AND(ABS('IN-CLASS_Lab Part A'!B8-(100))&lt;=1e-09),"✓ Checked","Check the result")),"Formula error")</f>
        <v/>
      </c>
      <c r="C22" s="559" t="n"/>
      <c r="D22" s="559" t="n"/>
      <c r="E22" s="559" t="n"/>
      <c r="F22" s="559" t="n"/>
      <c r="G22" s="559" t="n"/>
      <c r="H22" s="559" t="n"/>
      <c r="I22" s="542"/>
    </row>
    <row r="23">
      <c r="A23" s="559" t="inlineStr">
        <is>
          <t>A delayed</t>
        </is>
      </c>
      <c r="B23" s="559">
        <f>IFERROR(IF(OR(ISBLANK('IN-CLASS_Lab Part A'!B9)),"Not started",IF(AND(ABS('IN-CLASS_Lab Part A'!B9-(24))&lt;=1e-09),"✓ Checked","Check the result")),"Formula error")</f>
        <v/>
      </c>
      <c r="C23" s="559" t="n"/>
      <c r="D23" s="559" t="n"/>
      <c r="E23" s="559" t="n"/>
      <c r="F23" s="559" t="n"/>
      <c r="G23" s="559" t="n"/>
      <c r="H23" s="559" t="n"/>
      <c r="I23" s="542"/>
    </row>
    <row r="24">
      <c r="A24" s="559" t="inlineStr">
        <is>
          <t>A respondent rate</t>
        </is>
      </c>
      <c r="B24" s="559">
        <f>IFERROR(IF(OR(ISBLANK('IN-CLASS_Lab Part A'!B10)),"Not started",IF(AND(ABS('IN-CLASS_Lab Part A'!B10-(0.24))&lt;=0.0015),"✓ Checked","Check the result")),"Formula error")</f>
        <v/>
      </c>
      <c r="C24" s="559" t="n"/>
      <c r="D24" s="559" t="n"/>
      <c r="E24" s="559" t="n"/>
      <c r="F24" s="559" t="n"/>
      <c r="G24" s="559" t="n"/>
      <c r="H24" s="559" t="n"/>
      <c r="I24" s="542"/>
    </row>
    <row r="25">
      <c r="A25" s="559" t="inlineStr">
        <is>
          <t>A lower scenario</t>
        </is>
      </c>
      <c r="B25" s="559">
        <f>IFERROR(IF(OR(ISBLANK('IN-CLASS_Lab Part A'!B11)),"Not started",IF(AND(ABS('IN-CLASS_Lab Part A'!B11-(0.192))&lt;=0.0015),"✓ Checked","Check the result")),"Formula error")</f>
        <v/>
      </c>
      <c r="C25" s="559" t="n"/>
      <c r="D25" s="559" t="n"/>
      <c r="E25" s="559" t="n"/>
      <c r="F25" s="559" t="n"/>
      <c r="G25" s="559" t="n"/>
      <c r="H25" s="559" t="n"/>
      <c r="I25" s="542"/>
    </row>
    <row r="26">
      <c r="A26" s="559" t="inlineStr">
        <is>
          <t>A upper scenario</t>
        </is>
      </c>
      <c r="B26" s="559">
        <f>IFERROR(IF(OR(ISBLANK('IN-CLASS_Lab Part A'!B12)),"Not started",IF(AND(ABS('IN-CLASS_Lab Part A'!B12-(0.392))&lt;=0.0015),"✓ Checked","Check the result")),"Formula error")</f>
        <v/>
      </c>
      <c r="C26" s="559" t="n"/>
      <c r="D26" s="559" t="n"/>
      <c r="E26" s="559" t="n"/>
      <c r="F26" s="559" t="n"/>
      <c r="G26" s="559" t="n"/>
      <c r="H26" s="559" t="n"/>
      <c r="I26" s="542"/>
    </row>
    <row r="27">
      <c r="A27" s="559" t="n"/>
      <c r="B27" s="559" t="n"/>
      <c r="C27" s="559" t="n"/>
      <c r="D27" s="559" t="n"/>
      <c r="E27" s="559" t="n"/>
      <c r="F27" s="559" t="n"/>
      <c r="G27" s="559" t="n"/>
      <c r="H27" s="559" t="n"/>
      <c r="I27" s="542"/>
    </row>
    <row r="28" ht="30" customHeight="1">
      <c r="A28" s="559" t="inlineStr">
        <is>
          <t>Formatting is already set. Enter your formula, then press Enter. To restore: select cell &gt; Format Cells &gt; Number or Custom.</t>
        </is>
      </c>
      <c r="B28" s="559" t="n"/>
      <c r="C28" s="559" t="n"/>
      <c r="D28" s="559" t="n"/>
      <c r="E28" s="559" t="n"/>
      <c r="F28" s="559" t="n"/>
      <c r="G28" s="559" t="n"/>
      <c r="H28" s="559" t="n"/>
      <c r="I28" s="542"/>
    </row>
    <row r="29" ht="32" customHeight="1">
      <c r="A29" s="559" t="inlineStr">
        <is>
          <t>B7</t>
        </is>
      </c>
      <c r="B29" s="559" t="inlineStr">
        <is>
          <t>Number, 0 decimals, pickups; unrelated formatting example only: stored 7 displays as 7 pickups. This is not a check value. | Format code: 0</t>
        </is>
      </c>
      <c r="C29" s="559" t="n"/>
      <c r="D29" s="559" t="n"/>
      <c r="E29" s="559" t="n"/>
      <c r="F29" s="559" t="n"/>
      <c r="G29" s="559" t="n"/>
      <c r="H29" s="559" t="n"/>
      <c r="I29" s="542"/>
    </row>
    <row r="30" ht="32" customHeight="1">
      <c r="A30" s="559" t="inlineStr">
        <is>
          <t>B8</t>
        </is>
      </c>
      <c r="B30" s="559" t="inlineStr">
        <is>
          <t>Number, 0 decimals, pickups; unrelated formatting example only: stored 7 displays as 7 pickups. This is not a check value. | Format code: 0</t>
        </is>
      </c>
      <c r="C30" s="559" t="n"/>
      <c r="D30" s="559" t="n"/>
      <c r="E30" s="559" t="n"/>
      <c r="F30" s="559" t="n"/>
      <c r="G30" s="559" t="n"/>
      <c r="H30" s="559" t="n"/>
      <c r="I30" s="542"/>
    </row>
    <row r="31" ht="32" customHeight="1">
      <c r="A31" s="559" t="inlineStr">
        <is>
          <t>B9</t>
        </is>
      </c>
      <c r="B31" s="559" t="inlineStr">
        <is>
          <t>Number, 0 decimals, pickups; unrelated formatting example only: stored 7 displays as 7 pickups. This is not a check value. | Format code: 0</t>
        </is>
      </c>
      <c r="C31" s="559" t="n"/>
      <c r="D31" s="559" t="n"/>
      <c r="E31" s="559" t="n"/>
      <c r="F31" s="559" t="n"/>
      <c r="G31" s="559" t="n"/>
      <c r="H31" s="559" t="n"/>
      <c r="I31" s="542"/>
    </row>
    <row r="32" ht="32" customHeight="1">
      <c r="A32" s="559" t="inlineStr">
        <is>
          <t>B10</t>
        </is>
      </c>
      <c r="B32" s="559" t="inlineStr">
        <is>
          <t>Percentage, 1 decimal, percent of eligible respondents; unrelated formatting example only: stored 0.125 displays as 12.5%. This is not a check value. | Format code: 0.0%</t>
        </is>
      </c>
      <c r="C32" s="559" t="n"/>
      <c r="D32" s="559" t="n"/>
      <c r="E32" s="559" t="n"/>
      <c r="F32" s="559" t="n"/>
      <c r="G32" s="559" t="n"/>
      <c r="H32" s="559" t="n"/>
      <c r="I32" s="542"/>
    </row>
    <row r="33" ht="32" customHeight="1">
      <c r="A33" s="559" t="inlineStr">
        <is>
          <t>B11</t>
        </is>
      </c>
      <c r="B33" s="559" t="inlineStr">
        <is>
          <t>Percentage, 1 decimal, percent of invited pickups; unrelated formatting example only: stored 0.125 displays as 12.5%. This is not a check value. | Format code: 0.0%</t>
        </is>
      </c>
      <c r="C33" s="559" t="n"/>
      <c r="D33" s="559" t="n"/>
      <c r="E33" s="559" t="n"/>
      <c r="F33" s="559" t="n"/>
      <c r="G33" s="559" t="n"/>
      <c r="H33" s="559" t="n"/>
      <c r="I33" s="542"/>
    </row>
    <row r="34" ht="32" customHeight="1">
      <c r="A34" s="559" t="inlineStr">
        <is>
          <t>B12</t>
        </is>
      </c>
      <c r="B34" s="559" t="inlineStr">
        <is>
          <t>Percentage, 1 decimal, percent of invited pickups; unrelated formatting example only: stored 0.125 displays as 12.5%. This is not a check value. | Format code: 0.0%</t>
        </is>
      </c>
      <c r="C34" s="559" t="n"/>
      <c r="D34" s="559" t="n"/>
      <c r="E34" s="559" t="n"/>
      <c r="F34" s="559" t="n"/>
      <c r="G34" s="559" t="n"/>
      <c r="H34" s="559" t="n"/>
      <c r="I34" s="542"/>
    </row>
    <row r="35">
      <c r="I35" s="542"/>
    </row>
    <row r="36">
      <c r="I36" s="542"/>
    </row>
    <row r="37">
      <c r="I37" s="542"/>
    </row>
    <row r="38">
      <c r="I38" s="542"/>
    </row>
    <row r="39">
      <c r="I39" s="542"/>
    </row>
    <row r="40">
      <c r="I40" s="542"/>
    </row>
  </sheetData>
  <mergeCells count="28">
    <mergeCell ref="B30:H30"/>
    <mergeCell ref="E7:H7"/>
    <mergeCell ref="B33:H33"/>
    <mergeCell ref="A1:H1"/>
    <mergeCell ref="B15:H17"/>
    <mergeCell ref="B32:H32"/>
    <mergeCell ref="C10:D10"/>
    <mergeCell ref="E12:H12"/>
    <mergeCell ref="C9:D9"/>
    <mergeCell ref="B31:H31"/>
    <mergeCell ref="C12:D12"/>
    <mergeCell ref="A3:H3"/>
    <mergeCell ref="E8:H8"/>
    <mergeCell ref="C11:D11"/>
    <mergeCell ref="A2:H2"/>
    <mergeCell ref="A5:H5"/>
    <mergeCell ref="E10:H10"/>
    <mergeCell ref="C8:D8"/>
    <mergeCell ref="A4:H4"/>
    <mergeCell ref="B14:H14"/>
    <mergeCell ref="E9:H9"/>
    <mergeCell ref="C7:D7"/>
    <mergeCell ref="A28:H28"/>
    <mergeCell ref="B29:H29"/>
    <mergeCell ref="E11:H11"/>
    <mergeCell ref="B34:H34"/>
    <mergeCell ref="I5:I6"/>
    <mergeCell ref="I15:I17"/>
  </mergeCells>
  <dataValidations count="1">
    <dataValidation sqref="B14" showDropDown="0" showInputMessage="1" showErrorMessage="1" allowBlank="1" errorTitle="Choose one option" error="Use the dropdown, then explain your reason in the adjacent response area." promptTitle="Choose, then explain" prompt="Pick the best statement for your evidence. Nothing is preselected." type="list">
      <formula1>=LabChoices_1</formula1>
    </dataValidation>
  </dataValidation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34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min="9" max="9" width="58" customWidth="1"/>
  </cols>
  <sheetData>
    <row r="1" ht="30" customHeight="1">
      <c r="A1" s="558" t="inlineStr">
        <is>
          <t xml:space="preserve">Part B · Duration Estimation and Confidence Intervals    ⏱ 10 min · from slide 46 → back to slide 47</t>
        </is>
      </c>
      <c r="B1" s="559" t="n"/>
      <c r="C1" s="559" t="n"/>
      <c r="D1" s="559" t="n"/>
      <c r="E1" s="559" t="n"/>
      <c r="F1" s="559" t="n"/>
      <c r="G1" s="559" t="n"/>
      <c r="H1" s="559" t="n"/>
      <c r="I1" s="542"/>
    </row>
    <row r="2" ht="34" customHeight="1">
      <c r="A2" s="560" t="inlineStr">
        <is>
          <t xml:space="preserve">What you're using · Section 2: The standard error measures the expected variability of sample means across repeated samples of size n drawn from the same population.   Reread: Slides 29–46; Concise Toolkit pp. 11-18; Full Toolkit pp. 23-41</t>
        </is>
      </c>
      <c r="B2" s="559" t="n"/>
      <c r="C2" s="559" t="n"/>
      <c r="D2" s="559" t="n"/>
      <c r="E2" s="559" t="n"/>
      <c r="F2" s="559" t="n"/>
      <c r="G2" s="559" t="n"/>
      <c r="H2" s="559" t="n"/>
      <c r="I2" s="542"/>
    </row>
    <row r="3" ht="30" customHeight="1">
      <c r="A3" s="561" t="inlineStr">
        <is>
          <t xml:space="preserve">\text{SE}_{\bar{x}} = \frac{s}{\sqrt{n}}</t>
        </is>
      </c>
      <c r="B3" s="559" t="n"/>
      <c r="C3" s="559" t="n"/>
      <c r="D3" s="559" t="n"/>
      <c r="E3" s="559" t="n"/>
      <c r="F3" s="559" t="n"/>
      <c r="G3" s="559" t="n"/>
      <c r="H3" s="559" t="n"/>
      <c r="I3" s="542"/>
    </row>
    <row r="4" ht="22" customHeight="1">
      <c r="A4" s="562" t="str">
        <f>"Progress: "&amp;COUNTIF(B21:B26,"✓ Checked")&amp;" of 6 checked. Save after each ✓."</f>
      </c>
      <c r="B4" s="559" t="n"/>
      <c r="C4" s="559" t="n"/>
      <c r="D4" s="559" t="n"/>
      <c r="E4" s="559" t="n"/>
      <c r="F4" s="559" t="n"/>
      <c r="G4" s="559" t="n"/>
      <c r="H4" s="559" t="n"/>
      <c r="I4" s="542"/>
    </row>
    <row r="5" ht="30" customHeight="1">
      <c r="A5" s="563" t="inlineStr">
        <is>
          <t xml:space="preserve">Open 'IN-CLASS_Lab Part B'!B7.  Save the same S05P_FirstName_LastName_NetID.xlsx workbook.</t>
        </is>
      </c>
      <c r="B5" s="559" t="n"/>
      <c r="C5" s="559" t="n"/>
      <c r="D5" s="559" t="n"/>
      <c r="E5" s="559" t="n"/>
      <c r="F5" s="559" t="n"/>
      <c r="G5" s="559" t="n"/>
      <c r="H5" s="559" t="n"/>
      <c r="I5" s="543" t="str">
        <v>Study help (optional)
Read the pages, then use the AI question if useful.</v>
      </c>
    </row>
    <row r="6">
      <c r="A6" s="559" t="n"/>
      <c r="B6" s="559" t="n"/>
      <c r="C6" s="559" t="n"/>
      <c r="D6" s="559" t="n"/>
      <c r="E6" s="559" t="n"/>
      <c r="F6" s="559" t="n"/>
      <c r="G6" s="559" t="n"/>
      <c r="H6" s="559" t="n"/>
      <c r="I6" s="543"/>
    </row>
    <row r="7" ht="90.0" customHeight="1">
      <c r="A7" s="564" t="inlineStr">
        <is>
          <t xml:space="preserve">1 · Observed mean duration</t>
        </is>
      </c>
      <c r="B7" s="597" t="n"/>
      <c r="C7" s="566">
        <f>IFERROR(IF(OR(ISBLANK(B7)),"Not started",IF(AND(ABS(B7-(42))&lt;=1e-09),"Result matches","Check the result")),"Formula error")</f>
        <v/>
      </c>
      <c r="D7" s="567" t="n"/>
      <c r="E7" s="568" t="inlineStr">
        <is>
          <t xml:space="preserve">Observed mean duration. Practice check: 42.00; use the cell's stated units. Replacing blank durations with zero.</t>
        </is>
      </c>
      <c r="F7" s="567" t="n"/>
      <c r="G7" s="567" t="n"/>
      <c r="H7" s="567" t="n"/>
      <c r="I7" s="557" t="str">
        <v>B7: Slides 36-38. Concise Toolkit pp. 10-17
After-class AI question: Explain Student t Confidence Interval for a Mean. Use a different example, then ask me one check question.</v>
      </c>
    </row>
    <row r="8" ht="90.0" customHeight="1">
      <c r="A8" s="564" t="inlineStr">
        <is>
          <t xml:space="preserve">2 · Sample duration SD</t>
        </is>
      </c>
      <c r="B8" s="597" t="n"/>
      <c r="C8" s="566">
        <f>IFERROR(IF(OR(ISBLANK(B8)),"Not started",IF(AND(ABS(B8-(12))&lt;=0.024),"Result matches","Check the result")),"Formula error")</f>
        <v/>
      </c>
      <c r="D8" s="567" t="n"/>
      <c r="E8" s="568" t="inlineStr">
        <is>
          <t xml:space="preserve">Sample duration SD. Practice check: 12.00; use the cell's stated units. Using STDEV.P or interpreting SD as the standard error.</t>
        </is>
      </c>
      <c r="F8" s="567" t="n"/>
      <c r="G8" s="567" t="n"/>
      <c r="H8" s="567" t="n"/>
      <c r="I8" s="557" t="str">
        <v>B8: Slides 31-32. Concise Toolkit pp. 10-17
After-class AI question: Explain Standard Error of the Mean. Use a different example, then ask me one check question.</v>
      </c>
    </row>
    <row r="9" ht="90.0" customHeight="1">
      <c r="A9" s="564" t="inlineStr">
        <is>
          <t xml:space="preserve">3 · Standard error</t>
        </is>
      </c>
      <c r="B9" s="597" t="n"/>
      <c r="C9" s="566">
        <f>IFERROR(IF(OR(ISBLANK(B9)),"Not started",IF(AND(ABS(B9-(1.2))&lt;=0.0024),"Result matches","Check the result")),"Formula error")</f>
        <v/>
      </c>
      <c r="D9" s="567" t="n"/>
      <c r="E9" s="568" t="inlineStr">
        <is>
          <t xml:space="preserve">Standard error. Practice check: 1.20; use the cell's stated units. Dividing sample SD by n instead of √n.</t>
        </is>
      </c>
      <c r="F9" s="567" t="n"/>
      <c r="G9" s="567" t="n"/>
      <c r="H9" s="567" t="n"/>
      <c r="I9" s="557" t="str">
        <v>B9: Slides 31-32. Concise Toolkit pp. 10-17
After-class AI question: Explain Standard Error of the Mean. Use a different example, then ask me one check question.</v>
      </c>
    </row>
    <row r="10" ht="90.0" customHeight="1">
      <c r="A10" s="564" t="inlineStr">
        <is>
          <t xml:space="preserve">5 · Lower 95% mean limit</t>
        </is>
      </c>
      <c r="B10" s="597" t="n"/>
      <c r="C10" s="566">
        <f>IFERROR(IF(OR(ISBLANK(B10)),"Not started",IF(AND(ABS(B10-(39.6189396580963))&lt;=0.0792378793161926),"Result matches","Check the result")),"Formula error")</f>
        <v/>
      </c>
      <c r="D10" s="567" t="n"/>
      <c r="E10" s="568" t="inlineStr">
        <is>
          <t xml:space="preserve">Lower 95% mean limit. Practice check: 39.62; use the cell's stated units. Reading it as a minimum observed or individual pickup duration.</t>
        </is>
      </c>
      <c r="F10" s="567" t="n"/>
      <c r="G10" s="567" t="n"/>
      <c r="H10" s="567" t="n"/>
      <c r="I10" s="557" t="str">
        <v>B10: Slides 36-38. Concise Toolkit pp. 10-17
After-class AI question: Explain Student t Confidence Interval for a Mean. Use a different example, then ask me one check question.</v>
      </c>
    </row>
    <row r="11" ht="90.0" customHeight="1">
      <c r="A11" s="564" t="inlineStr">
        <is>
          <t xml:space="preserve">6 · Upper 95% mean limit</t>
        </is>
      </c>
      <c r="B11" s="597" t="n"/>
      <c r="C11" s="566">
        <f>IFERROR(IF(OR(ISBLANK(B11)),"Not started",IF(AND(ABS(B11-(44.3810603419037))&lt;=0.0887621206838074),"Result matches","Check the result")),"Formula error")</f>
        <v/>
      </c>
      <c r="D11" s="567" t="n"/>
      <c r="E11" s="568" t="inlineStr">
        <is>
          <t xml:space="preserve">Upper 95% mean limit. Practice check: 44.38; use the cell's stated units. Calling this an upper limit for individual pickups.</t>
        </is>
      </c>
      <c r="F11" s="567" t="n"/>
      <c r="G11" s="567" t="n"/>
      <c r="H11" s="567" t="n"/>
      <c r="I11" s="557" t="str">
        <v>B11: Slides 36-38. Concise Toolkit pp. 10-17
After-class AI question: Explain Student t Confidence Interval for a Mean. Use a different example, then ask me one check question.</v>
      </c>
    </row>
    <row r="12" ht="90.0" customHeight="1">
      <c r="A12" s="564" t="inlineStr">
        <is>
          <t xml:space="preserve">4 · Two-sided t multiplier</t>
        </is>
      </c>
      <c r="B12" s="598" t="n"/>
      <c r="C12" s="566">
        <f>IFERROR(IF(OR(ISBLANK(B12)),"Not started",IF(AND(ABS(B12-(1.98421695158642))&lt;=0.00396843390317283),"Result matches","Check the result")),"Formula error")</f>
        <v/>
      </c>
      <c r="D12" s="567" t="n"/>
      <c r="E12" s="568" t="inlineStr">
        <is>
          <t xml:space="preserve">Two-sided t multiplier. Practice check: 1.9842; use the cell's stated units. Using n rather than n−1 degrees of freedom or a one-tailed critical value.</t>
        </is>
      </c>
      <c r="F12" s="567" t="n"/>
      <c r="G12" s="567" t="n"/>
      <c r="H12" s="567" t="n"/>
      <c r="I12" s="557" t="str">
        <v>B12: Slides 36-38. Concise Toolkit pp. 10-17
After-class AI question: Explain Student t Confidence Interval for a Mean. Use a different example, then ask me one check question.</v>
      </c>
    </row>
    <row r="13">
      <c r="A13" s="559" t="n"/>
      <c r="B13" s="559" t="n"/>
      <c r="C13" s="559" t="n"/>
      <c r="D13" s="559" t="n"/>
      <c r="E13" s="559" t="n"/>
      <c r="F13" s="559" t="n"/>
      <c r="G13" s="559" t="n"/>
      <c r="H13" s="559" t="n"/>
      <c r="I13" s="542"/>
    </row>
    <row r="14" ht="90.0" customHeight="1">
      <c r="A14" s="564" t="inlineStr">
        <is>
          <t>Select an interpretation</t>
        </is>
      </c>
      <c r="B14" s="584" t="n"/>
      <c r="C14" s="585" t="n"/>
      <c r="D14" s="585" t="n"/>
      <c r="E14" s="585" t="n"/>
      <c r="F14" s="585" t="n"/>
      <c r="G14" s="585" t="n"/>
      <c r="H14" s="586" t="n"/>
      <c r="I14" s="557" t="str">
        <v>B14: Slides 35, 39-40. Concise Toolkit pp. 10-17
After-class AI question: Explain Duration Estimation and Confidence Intervals. Use a different example, then ask me one check question.</v>
      </c>
    </row>
    <row r="15" ht="30" customHeight="1">
      <c r="A15" s="564" t="inlineStr">
        <is>
          <t>Your SE and target reason</t>
        </is>
      </c>
      <c r="B15" s="587" t="inlineStr">
        <is>
          <t>[Replace with your reason: describe what SE measures, compare the mean interval with the target and state one limitation.]</t>
        </is>
      </c>
      <c r="C15" s="588" t="n"/>
      <c r="D15" s="588" t="n"/>
      <c r="E15" s="588" t="n"/>
      <c r="F15" s="588" t="n"/>
      <c r="G15" s="588" t="n"/>
      <c r="H15" s="589" t="n"/>
      <c r="I15" s="557" t="str">
        <v>B15: Slides 35, 39-40. Concise Toolkit pp. 10-17
After-class AI question: Explain Duration Estimation and Confidence Intervals. Use a different example, then ask me one check question.</v>
      </c>
    </row>
    <row r="16" ht="30" customHeight="1">
      <c r="A16" s="559" t="n"/>
      <c r="B16" s="590" t="n"/>
      <c r="C16" s="577" t="n"/>
      <c r="D16" s="577" t="n"/>
      <c r="E16" s="577" t="n"/>
      <c r="F16" s="577" t="n"/>
      <c r="G16" s="577" t="n"/>
      <c r="H16" s="591" t="n"/>
      <c r="I16" s="557"/>
    </row>
    <row r="17" ht="30" customHeight="1">
      <c r="A17" s="559" t="n"/>
      <c r="B17" s="592" t="n"/>
      <c r="C17" s="593" t="n"/>
      <c r="D17" s="593" t="n"/>
      <c r="E17" s="593" t="n"/>
      <c r="F17" s="593" t="n"/>
      <c r="G17" s="593" t="n"/>
      <c r="H17" s="594" t="n"/>
      <c r="I17" s="557"/>
    </row>
    <row r="18">
      <c r="A18" s="559" t="n"/>
      <c r="B18" s="559" t="n"/>
      <c r="C18" s="559" t="n"/>
      <c r="D18" s="559" t="n"/>
      <c r="E18" s="559" t="n"/>
      <c r="F18" s="559" t="n"/>
      <c r="G18" s="559" t="n"/>
      <c r="H18" s="559" t="n"/>
      <c r="I18" s="542"/>
    </row>
    <row r="19">
      <c r="A19" s="559" t="n"/>
      <c r="B19" s="559" t="n"/>
      <c r="C19" s="559" t="n"/>
      <c r="D19" s="559" t="n"/>
      <c r="E19" s="559" t="n"/>
      <c r="F19" s="559" t="n"/>
      <c r="G19" s="559" t="n"/>
      <c r="H19" s="559" t="n"/>
      <c r="I19" s="542"/>
    </row>
    <row r="20">
      <c r="A20" s="559" t="inlineStr">
        <is>
          <t>Check your work</t>
        </is>
      </c>
      <c r="B20" s="559" t="inlineStr">
        <is>
          <t>Status</t>
        </is>
      </c>
      <c r="C20" s="559" t="n"/>
      <c r="D20" s="559" t="n"/>
      <c r="E20" s="559" t="n"/>
      <c r="F20" s="559" t="n"/>
      <c r="G20" s="559" t="n"/>
      <c r="H20" s="559" t="n"/>
      <c r="I20" s="542"/>
    </row>
    <row r="21">
      <c r="A21" s="559" t="inlineStr">
        <is>
          <t>B mean</t>
        </is>
      </c>
      <c r="B21" s="559">
        <f>IFERROR(IF(OR(ISBLANK('IN-CLASS_Lab Part B'!B7)),"Not started",IF(AND(ABS('IN-CLASS_Lab Part B'!B7-(42))&lt;=1e-09),"✓ Checked","Check the result")),"Formula error")</f>
        <v/>
      </c>
      <c r="C21" s="559" t="n"/>
      <c r="D21" s="559" t="n"/>
      <c r="E21" s="559" t="n"/>
      <c r="F21" s="559" t="n"/>
      <c r="G21" s="559" t="n"/>
      <c r="H21" s="559" t="n"/>
      <c r="I21" s="542"/>
    </row>
    <row r="22">
      <c r="A22" s="559" t="inlineStr">
        <is>
          <t>B sample standard deviation</t>
        </is>
      </c>
      <c r="B22" s="559">
        <f>IFERROR(IF(OR(ISBLANK('IN-CLASS_Lab Part B'!B8)),"Not started",IF(AND(ABS('IN-CLASS_Lab Part B'!B8-(12))&lt;=0.024),"✓ Checked","Check the result")),"Formula error")</f>
        <v/>
      </c>
      <c r="C22" s="559" t="n"/>
      <c r="D22" s="559" t="n"/>
      <c r="E22" s="559" t="n"/>
      <c r="F22" s="559" t="n"/>
      <c r="G22" s="559" t="n"/>
      <c r="H22" s="559" t="n"/>
      <c r="I22" s="542"/>
    </row>
    <row r="23">
      <c r="A23" s="559" t="inlineStr">
        <is>
          <t>B standard error</t>
        </is>
      </c>
      <c r="B23" s="559">
        <f>IFERROR(IF(OR(ISBLANK('IN-CLASS_Lab Part B'!B9)),"Not started",IF(AND(ABS('IN-CLASS_Lab Part B'!B9-(1.2))&lt;=0.0024),"✓ Checked","Check the result")),"Formula error")</f>
        <v/>
      </c>
      <c r="C23" s="559" t="n"/>
      <c r="D23" s="559" t="n"/>
      <c r="E23" s="559" t="n"/>
      <c r="F23" s="559" t="n"/>
      <c r="G23" s="559" t="n"/>
      <c r="H23" s="559" t="n"/>
      <c r="I23" s="542"/>
    </row>
    <row r="24">
      <c r="A24" s="559" t="inlineStr">
        <is>
          <t>B lower mean</t>
        </is>
      </c>
      <c r="B24" s="559">
        <f>IFERROR(IF(OR(ISBLANK('IN-CLASS_Lab Part B'!B10)),"Not started",IF(AND(ABS('IN-CLASS_Lab Part B'!B10-(39.6189396580963))&lt;=0.0792378793161926),"✓ Checked","Check the result")),"Formula error")</f>
        <v/>
      </c>
      <c r="C24" s="559" t="n"/>
      <c r="D24" s="559" t="n"/>
      <c r="E24" s="559" t="n"/>
      <c r="F24" s="559" t="n"/>
      <c r="G24" s="559" t="n"/>
      <c r="H24" s="559" t="n"/>
      <c r="I24" s="542"/>
    </row>
    <row r="25">
      <c r="A25" s="559" t="inlineStr">
        <is>
          <t>B upper mean</t>
        </is>
      </c>
      <c r="B25" s="559">
        <f>IFERROR(IF(OR(ISBLANK('IN-CLASS_Lab Part B'!B11)),"Not started",IF(AND(ABS('IN-CLASS_Lab Part B'!B11-(44.3810603419037))&lt;=0.0887621206838074),"✓ Checked","Check the result")),"Formula error")</f>
        <v/>
      </c>
      <c r="C25" s="559" t="n"/>
      <c r="D25" s="559" t="n"/>
      <c r="E25" s="559" t="n"/>
      <c r="F25" s="559" t="n"/>
      <c r="G25" s="559" t="n"/>
      <c r="H25" s="559" t="n"/>
      <c r="I25" s="542"/>
    </row>
    <row r="26">
      <c r="A26" s="559" t="inlineStr">
        <is>
          <t>B t critical</t>
        </is>
      </c>
      <c r="B26" s="559">
        <f>IFERROR(IF(OR(ISBLANK('IN-CLASS_Lab Part B'!B12)),"Not started",IF(AND(ABS('IN-CLASS_Lab Part B'!B12-(1.98421695158642))&lt;=0.00396843390317283),"✓ Checked","Check the result")),"Formula error")</f>
        <v/>
      </c>
      <c r="C26" s="559" t="n"/>
      <c r="D26" s="559" t="n"/>
      <c r="E26" s="559" t="n"/>
      <c r="F26" s="559" t="n"/>
      <c r="G26" s="559" t="n"/>
      <c r="H26" s="559" t="n"/>
      <c r="I26" s="542"/>
    </row>
    <row r="27">
      <c r="A27" s="559" t="n"/>
      <c r="B27" s="559" t="n"/>
      <c r="C27" s="559" t="n"/>
      <c r="D27" s="559" t="n"/>
      <c r="E27" s="559" t="n"/>
      <c r="F27" s="559" t="n"/>
      <c r="G27" s="559" t="n"/>
      <c r="H27" s="559" t="n"/>
      <c r="I27" s="542"/>
    </row>
    <row r="28" ht="30" customHeight="1">
      <c r="A28" s="559" t="inlineStr">
        <is>
          <t>Formatting is already set. Enter your formula, then press Enter. To restore: select cell &gt; Format Cells &gt; Number or Custom.</t>
        </is>
      </c>
      <c r="B28" s="559" t="n"/>
      <c r="C28" s="559" t="n"/>
      <c r="D28" s="559" t="n"/>
      <c r="E28" s="559" t="n"/>
      <c r="F28" s="559" t="n"/>
      <c r="G28" s="559" t="n"/>
      <c r="H28" s="559" t="n"/>
      <c r="I28" s="542"/>
    </row>
    <row r="29" ht="32" customHeight="1">
      <c r="A29" s="559" t="inlineStr">
        <is>
          <t>B7</t>
        </is>
      </c>
      <c r="B29" s="559" t="inlineStr">
        <is>
          <t>Number, 2 decimals, minutes; unrelated formatting example only: stored 7.256 displays as 7.26 minutes. This is not a check value. | Format code: 0.00</t>
        </is>
      </c>
      <c r="C29" s="559" t="n"/>
      <c r="D29" s="559" t="n"/>
      <c r="E29" s="559" t="n"/>
      <c r="F29" s="559" t="n"/>
      <c r="G29" s="559" t="n"/>
      <c r="H29" s="559" t="n"/>
      <c r="I29" s="542"/>
    </row>
    <row r="30" ht="32" customHeight="1">
      <c r="A30" s="559" t="inlineStr">
        <is>
          <t>B8</t>
        </is>
      </c>
      <c r="B30" s="559" t="inlineStr">
        <is>
          <t>Number, 2 decimals, minutes; unrelated formatting example only: stored 7.256 displays as 7.26 minutes. This is not a check value. | Format code: 0.00</t>
        </is>
      </c>
      <c r="C30" s="559" t="n"/>
      <c r="D30" s="559" t="n"/>
      <c r="E30" s="559" t="n"/>
      <c r="F30" s="559" t="n"/>
      <c r="G30" s="559" t="n"/>
      <c r="H30" s="559" t="n"/>
      <c r="I30" s="542"/>
    </row>
    <row r="31" ht="32" customHeight="1">
      <c r="A31" s="559" t="inlineStr">
        <is>
          <t>B9</t>
        </is>
      </c>
      <c r="B31" s="559" t="inlineStr">
        <is>
          <t>Number, 2 decimals, minutes; unrelated formatting example only: stored 7.256 displays as 7.26 minutes. This is not a check value. | Format code: 0.00</t>
        </is>
      </c>
      <c r="C31" s="559" t="n"/>
      <c r="D31" s="559" t="n"/>
      <c r="E31" s="559" t="n"/>
      <c r="F31" s="559" t="n"/>
      <c r="G31" s="559" t="n"/>
      <c r="H31" s="559" t="n"/>
      <c r="I31" s="542"/>
    </row>
    <row r="32" ht="32" customHeight="1">
      <c r="A32" s="559" t="inlineStr">
        <is>
          <t>B10</t>
        </is>
      </c>
      <c r="B32" s="559" t="inlineStr">
        <is>
          <t>Number, 2 decimals, minutes; unrelated formatting example only: stored 7.256 displays as 7.26 minutes. This is not a check value. | Format code: 0.00</t>
        </is>
      </c>
      <c r="C32" s="559" t="n"/>
      <c r="D32" s="559" t="n"/>
      <c r="E32" s="559" t="n"/>
      <c r="F32" s="559" t="n"/>
      <c r="G32" s="559" t="n"/>
      <c r="H32" s="559" t="n"/>
      <c r="I32" s="542"/>
    </row>
    <row r="33" ht="32" customHeight="1">
      <c r="A33" s="559" t="inlineStr">
        <is>
          <t>B11</t>
        </is>
      </c>
      <c r="B33" s="559" t="inlineStr">
        <is>
          <t>Number, 2 decimals, minutes; unrelated formatting example only: stored 7.256 displays as 7.26 minutes. This is not a check value. | Format code: 0.00</t>
        </is>
      </c>
      <c r="C33" s="559" t="n"/>
      <c r="D33" s="559" t="n"/>
      <c r="E33" s="559" t="n"/>
      <c r="F33" s="559" t="n"/>
      <c r="G33" s="559" t="n"/>
      <c r="H33" s="559" t="n"/>
      <c r="I33" s="542"/>
    </row>
    <row r="34" ht="32" customHeight="1">
      <c r="A34" s="559" t="inlineStr">
        <is>
          <t>B12</t>
        </is>
      </c>
      <c r="B34" s="559" t="inlineStr">
        <is>
          <t>Number, 4 decimals, unitless; unrelated formatting example only: stored 1.23456 displays as 1.2346. This is not a check value. | Format code: 0.0000</t>
        </is>
      </c>
      <c r="C34" s="559" t="n"/>
      <c r="D34" s="559" t="n"/>
      <c r="E34" s="559" t="n"/>
      <c r="F34" s="559" t="n"/>
      <c r="G34" s="559" t="n"/>
      <c r="H34" s="559" t="n"/>
      <c r="I34" s="542"/>
    </row>
    <row r="35">
      <c r="I35" s="542"/>
    </row>
    <row r="36">
      <c r="I36" s="542"/>
    </row>
    <row r="37">
      <c r="I37" s="542"/>
    </row>
    <row r="38">
      <c r="I38" s="542"/>
    </row>
    <row r="39">
      <c r="I39" s="542"/>
    </row>
    <row r="40">
      <c r="I40" s="542"/>
    </row>
  </sheetData>
  <mergeCells count="28">
    <mergeCell ref="B30:H30"/>
    <mergeCell ref="E7:H7"/>
    <mergeCell ref="B33:H33"/>
    <mergeCell ref="A1:H1"/>
    <mergeCell ref="B15:H17"/>
    <mergeCell ref="B32:H32"/>
    <mergeCell ref="C10:D10"/>
    <mergeCell ref="E12:H12"/>
    <mergeCell ref="C9:D9"/>
    <mergeCell ref="B31:H31"/>
    <mergeCell ref="C12:D12"/>
    <mergeCell ref="A3:H3"/>
    <mergeCell ref="E8:H8"/>
    <mergeCell ref="C11:D11"/>
    <mergeCell ref="A2:H2"/>
    <mergeCell ref="A5:H5"/>
    <mergeCell ref="E10:H10"/>
    <mergeCell ref="C8:D8"/>
    <mergeCell ref="A4:H4"/>
    <mergeCell ref="B14:H14"/>
    <mergeCell ref="E9:H9"/>
    <mergeCell ref="C7:D7"/>
    <mergeCell ref="A28:H28"/>
    <mergeCell ref="B29:H29"/>
    <mergeCell ref="E11:H11"/>
    <mergeCell ref="B34:H34"/>
    <mergeCell ref="I5:I6"/>
    <mergeCell ref="I15:I17"/>
  </mergeCells>
  <dataValidations count="1">
    <dataValidation sqref="B14" showDropDown="0" showInputMessage="1" showErrorMessage="1" allowBlank="1" errorTitle="Choose one option" error="Use the dropdown, then explain your reason in the adjacent response area." promptTitle="Choose, then explain" prompt="Pick the best statement for your evidence. Nothing is preselected." type="list">
      <formula1>=LabChoices_2</formula1>
    </dataValidation>
  </dataValidation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57068C"/>
    <outlinePr summaryBelow="1" summaryRight="1"/>
    <pageSetUpPr fitToPage="1"/>
  </sheetPr>
  <dimension ref="A1:H3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min="9" max="9" width="58" customWidth="1"/>
  </cols>
  <sheetData>
    <row r="1" ht="30" customHeight="1">
      <c r="A1" s="558" t="inlineStr">
        <is>
          <t xml:space="preserve">Part C · Proportion Confidence Interval and Sample Size Planning    ⏱ 10 min · from slide 66 → back to slide 70   then ⏱ 15 min · at home</t>
        </is>
      </c>
      <c r="B1" s="559" t="n"/>
      <c r="C1" s="559" t="n"/>
      <c r="D1" s="559" t="n"/>
      <c r="E1" s="559" t="n"/>
      <c r="F1" s="559" t="n"/>
      <c r="G1" s="559" t="n"/>
      <c r="H1" s="559" t="n"/>
      <c r="I1" s="542"/>
    </row>
    <row r="2" ht="34" customHeight="1">
      <c r="A2" s="560" t="inlineStr">
        <is>
          <t xml:space="preserve">What you're using · Section 3: A proportion confidence interval bounds the true population share of binary events using the normal approximation.   Reread: Slides 48–66; Concise Toolkit pp. 19-26; Full Toolkit pp. 42-59</t>
        </is>
      </c>
      <c r="B2" s="559" t="n"/>
      <c r="C2" s="559" t="n"/>
      <c r="D2" s="559" t="n"/>
      <c r="E2" s="559" t="n"/>
      <c r="F2" s="559" t="n"/>
      <c r="G2" s="559" t="n"/>
      <c r="H2" s="559" t="n"/>
      <c r="I2" s="542"/>
    </row>
    <row r="3" ht="30" customHeight="1">
      <c r="A3" s="561" t="inlineStr">
        <is>
          <t xml:space="preserve">\hat{p} \pm z^* \sqrt{\frac{\hat{p}(1 - \hat{p})}{n}}</t>
        </is>
      </c>
      <c r="B3" s="559" t="n"/>
      <c r="C3" s="559" t="n"/>
      <c r="D3" s="559" t="n"/>
      <c r="E3" s="559" t="n"/>
      <c r="F3" s="559" t="n"/>
      <c r="G3" s="559" t="n"/>
      <c r="H3" s="559" t="n"/>
      <c r="I3" s="542"/>
    </row>
    <row r="4" ht="22" customHeight="1">
      <c r="A4" s="562" t="str">
        <f>"Progress: "&amp;COUNTIF(B23:B28,"✓ Checked")&amp;" of 6 checked. Save after each ✓."</f>
      </c>
      <c r="B4" s="559" t="n"/>
      <c r="C4" s="559" t="n"/>
      <c r="D4" s="559" t="n"/>
      <c r="E4" s="559" t="n"/>
      <c r="F4" s="559" t="n"/>
      <c r="G4" s="559" t="n"/>
      <c r="H4" s="559" t="n"/>
      <c r="I4" s="542"/>
    </row>
    <row r="5" ht="30" customHeight="1">
      <c r="A5" s="563" t="inlineStr">
        <is>
          <t xml:space="preserve">Open 'IN-CLASS_Lab Part C'!B7.  Save the same S05P_FirstName_LastName_NetID.xlsx workbook.</t>
        </is>
      </c>
      <c r="B5" s="559" t="n"/>
      <c r="C5" s="559" t="n"/>
      <c r="D5" s="559" t="n"/>
      <c r="E5" s="559" t="n"/>
      <c r="F5" s="559" t="n"/>
      <c r="G5" s="559" t="n"/>
      <c r="H5" s="559" t="n"/>
      <c r="I5" s="543" t="str">
        <v>Study help (optional)
Read the pages, then use the AI question if useful.</v>
      </c>
    </row>
    <row r="6">
      <c r="A6" s="559" t="n"/>
      <c r="B6" s="559" t="n"/>
      <c r="C6" s="559" t="n"/>
      <c r="D6" s="559" t="n"/>
      <c r="E6" s="559" t="n"/>
      <c r="F6" s="559" t="n"/>
      <c r="G6" s="559" t="n"/>
      <c r="H6" s="559" t="n"/>
      <c r="I6" s="543"/>
    </row>
    <row r="7" ht="90.0" customHeight="1">
      <c r="A7" s="564" t="inlineStr">
        <is>
          <t xml:space="preserve">1 · Eligible recorded outcomes</t>
        </is>
      </c>
      <c r="B7" s="582" t="n"/>
      <c r="C7" s="566">
        <f>IFERROR(IF(OR(ISBLANK(B7)),"Not started",IF(AND(ABS(B7-(100))&lt;=1e-09),"Result matches","Check the result")),"Formula error")</f>
        <v/>
      </c>
      <c r="D7" s="567" t="n"/>
      <c r="E7" s="568" t="inlineStr">
        <is>
          <t>Eligible recorded outcomes. Practice check: 100; use the cell's stated units. A numeric zero criterion can match blank cells; require a nonblank outcome in the zero branch. Missing outcomes are not on-time pickups.</t>
        </is>
      </c>
      <c r="F7" s="567" t="n"/>
      <c r="G7" s="567" t="n"/>
      <c r="H7" s="567" t="n"/>
      <c r="I7" s="557" t="str">
        <v>B7: Slides 51-53. Concise Toolkit pp. 18-26
After-class AI question: Explain Confidence Interval for a Population Proportion. Use a different example, then ask me one check question.</v>
      </c>
    </row>
    <row r="8" ht="90.0" customHeight="1">
      <c r="A8" s="564" t="inlineStr">
        <is>
          <t xml:space="preserve">2 · Recorded delay outcomes</t>
        </is>
      </c>
      <c r="B8" s="582" t="n"/>
      <c r="C8" s="566">
        <f>IFERROR(IF(OR(ISBLANK(B8)),"Not started",IF(AND(ABS(B8-(24))&lt;=1e-09),"Result matches","Check the result")),"Formula error")</f>
        <v/>
      </c>
      <c r="D8" s="567" t="n"/>
      <c r="E8" s="568" t="inlineStr">
        <is>
          <t>Recorded delay outcomes. Practice check: 24; use the cell's stated units. Changing the case’s 50-minute delay definition or counting missing outcomes as on-time.</t>
        </is>
      </c>
      <c r="F8" s="567" t="n"/>
      <c r="G8" s="567" t="n"/>
      <c r="H8" s="567" t="n"/>
      <c r="I8" s="557" t="str">
        <v>B8: Slides 51-53. Concise Toolkit pp. 18-26
After-class AI question: Explain Confidence Interval for a Population Proportion. Use a different example, then ask me one check question.</v>
      </c>
    </row>
    <row r="9" ht="90.0" customHeight="1">
      <c r="A9" s="564" t="inlineStr">
        <is>
          <t xml:space="preserve">3 · Observed delay share</t>
        </is>
      </c>
      <c r="B9" s="583" t="n"/>
      <c r="C9" s="566">
        <f>IFERROR(IF(OR(ISBLANK(B9)),"Not started",IF(AND(ABS(B9-(0.24))&lt;=0.0015),"Result matches","Check the result")),"Formula error")</f>
        <v/>
      </c>
      <c r="D9" s="567" t="n"/>
      <c r="E9" s="568" t="inlineStr">
        <is>
          <t xml:space="preserve">Observed delay share. Practice check: 24.0%; use the cell's stated units. Multiplying by 100 and then applying Percentage format.</t>
        </is>
      </c>
      <c r="F9" s="567" t="n"/>
      <c r="G9" s="567" t="n"/>
      <c r="H9" s="567" t="n"/>
      <c r="I9" s="557" t="str">
        <v>B9: Slides 51-53. Concise Toolkit pp. 18-26
After-class AI question: Explain Confidence Interval for a Population Proportion. Use a different example, then ask me one check question.</v>
      </c>
    </row>
    <row r="10" ht="90.0" customHeight="1">
      <c r="A10" s="564" t="inlineStr">
        <is>
          <t xml:space="preserve">4 · Lower 95% share limit</t>
        </is>
      </c>
      <c r="B10" s="603" t="n"/>
      <c r="C10" s="566">
        <f>IFERROR(IF(OR(ISBLANK(B10)),"Not started",IF(AND(ABS(B10-(0.156291706504075))&lt;=0.0015),"Result matches","Check the result")),"Formula error")</f>
        <v/>
      </c>
      <c r="D10" s="567" t="n"/>
      <c r="E10" s="568" t="inlineStr">
        <is>
          <t xml:space="preserve">Lower 95% share limit. Practice check: 15.63%; use the cell's stated units. Using all invitations as the observed-outcome denominator.</t>
        </is>
      </c>
      <c r="F10" s="567" t="n"/>
      <c r="G10" s="567" t="n"/>
      <c r="H10" s="567" t="n"/>
      <c r="I10" s="557" t="str">
        <v>B10: Slides 51-53. Concise Toolkit pp. 18-26
After-class AI question: Explain Confidence Interval for a Population Proportion. Use a different example, then ask me one check question.</v>
      </c>
    </row>
    <row r="11" ht="90.0" customHeight="1">
      <c r="A11" s="564" t="inlineStr">
        <is>
          <t xml:space="preserve">5 · Upper 95% share limit</t>
        </is>
      </c>
      <c r="B11" s="603" t="n"/>
      <c r="C11" s="566">
        <f>IFERROR(IF(OR(ISBLANK(B11)),"Not started",IF(AND(ABS(B11-(0.323708293495925))&lt;=0.0015),"Result matches","Check the result")),"Formula error")</f>
        <v/>
      </c>
      <c r="D11" s="567" t="n"/>
      <c r="E11" s="568" t="inlineStr">
        <is>
          <t xml:space="preserve">Upper 95% share limit. Practice check: 32.37%; use the cell's stated units. Treating a 95% interval as proof of an operational or causal effect.</t>
        </is>
      </c>
      <c r="F11" s="567" t="n"/>
      <c r="G11" s="567" t="n"/>
      <c r="H11" s="567" t="n"/>
      <c r="I11" s="557" t="str">
        <v>B11: Slides 51-53. Concise Toolkit pp. 18-26
After-class AI question: Explain Confidence Interval for a Population Proportion. Use a different example, then ask me one check question.</v>
      </c>
    </row>
    <row r="12" ht="90.0" customHeight="1">
      <c r="A12" s="564" t="inlineStr">
        <is>
          <t xml:space="preserve">6 · Required completed pickups</t>
        </is>
      </c>
      <c r="B12" s="582" t="n"/>
      <c r="C12" s="566">
        <f>IFERROR(IF(OR(ISBLANK(B12)),"Not started",IF(AND(ABS(B12-(438))&lt;=1e-09),"Result matches","Check the result")),"Formula error")</f>
        <v/>
      </c>
      <c r="D12" s="567" t="n"/>
      <c r="E12" s="568" t="inlineStr">
        <is>
          <t>Required completed pickups. Practice check: 438; use the cell's stated units. Rounding down or treating a four-percentage-point margin as a 4% relative change.</t>
        </is>
      </c>
      <c r="F12" s="567" t="n"/>
      <c r="G12" s="567" t="n"/>
      <c r="H12" s="567" t="n"/>
      <c r="I12" s="557" t="str">
        <v>B12: Slides 56, 61-62. Concise Toolkit pp. 18-26
After-class AI question: Explain Sample Size Planning for Precision. Use a different example, then ask me one check question.</v>
      </c>
    </row>
    <row r="13" ht="90.0" customHeight="1">
      <c r="A13" s="564" t="inlineStr">
        <is>
          <t>Select an interpretation</t>
        </is>
      </c>
      <c r="B13" s="584" t="n"/>
      <c r="C13" s="585" t="n"/>
      <c r="D13" s="585" t="n"/>
      <c r="E13" s="585" t="n"/>
      <c r="F13" s="585" t="n"/>
      <c r="G13" s="585" t="n"/>
      <c r="H13" s="586" t="n"/>
      <c r="I13" s="557" t="str">
        <v>B13: Slides 51-53. Concise Toolkit pp. 18-26
After-class AI question: Explain Proportion Confidence Interval and Sample Size Planning. Use a different example, then ask me one check question.</v>
      </c>
    </row>
    <row r="14" ht="90.0" customHeight="1">
      <c r="A14" s="564" t="inlineStr">
        <is>
          <t>Your precision reason</t>
        </is>
      </c>
      <c r="B14" s="604" t="inlineStr">
        <is>
          <t>[Replace with your reason: distinguish completed outcomes from invitations and identify what precision cannot repair.]</t>
        </is>
      </c>
      <c r="C14" s="605" t="n"/>
      <c r="D14" s="605" t="n"/>
      <c r="E14" s="605" t="n"/>
      <c r="F14" s="605" t="n"/>
      <c r="G14" s="605" t="n"/>
      <c r="H14" s="606" t="n"/>
      <c r="I14" s="557" t="str">
        <v>B14: Slides 51-53. Concise Toolkit pp. 18-26
After-class AI question: Explain Proportion Confidence Interval and Sample Size Planning. Use a different example, then ask me one check question.</v>
      </c>
    </row>
    <row r="15" ht="45" customHeight="1">
      <c r="A15" s="564" t="inlineStr">
        <is>
          <t>POST-CLASS, 15 minutes: your decision revisit</t>
        </is>
      </c>
      <c r="B15" s="587" t="inlineStr">
        <is>
          <t>[Replace with your own Option A versus Option B recommendation. Option A = immediate permanent staffing; Option B = a bounded audit pilot. Cite invitation bounds, both intervals, the completed-sample target, one limitation, and a condition that would change your choice.]</t>
        </is>
      </c>
      <c r="C15" s="588" t="n"/>
      <c r="D15" s="588" t="n"/>
      <c r="E15" s="588" t="n"/>
      <c r="F15" s="588" t="n"/>
      <c r="G15" s="588" t="n"/>
      <c r="H15" s="589" t="n"/>
      <c r="I15" s="557" t="str">
        <v>B15: Slides 51-53. Concise Toolkit pp. 18-26
After-class AI question: Explain Proportion Confidence Interval and Sample Size Planning. Use a different example, then ask me one check question.</v>
      </c>
    </row>
    <row r="16" ht="30" customHeight="1">
      <c r="A16" s="559" t="n"/>
      <c r="B16" s="590" t="n"/>
      <c r="C16" s="577" t="n"/>
      <c r="D16" s="577" t="n"/>
      <c r="E16" s="577" t="n"/>
      <c r="F16" s="577" t="n"/>
      <c r="G16" s="577" t="n"/>
      <c r="H16" s="591" t="n"/>
      <c r="I16" s="557"/>
    </row>
    <row r="17" ht="30" customHeight="1">
      <c r="A17" s="559" t="n"/>
      <c r="B17" s="590" t="n"/>
      <c r="C17" s="577" t="n"/>
      <c r="D17" s="577" t="n"/>
      <c r="E17" s="577" t="n"/>
      <c r="F17" s="577" t="n"/>
      <c r="G17" s="577" t="n"/>
      <c r="H17" s="591" t="n"/>
      <c r="I17" s="557"/>
    </row>
    <row r="18" ht="30" customHeight="1">
      <c r="A18" s="559" t="n"/>
      <c r="B18" s="590" t="n"/>
      <c r="C18" s="577" t="n"/>
      <c r="D18" s="577" t="n"/>
      <c r="E18" s="577" t="n"/>
      <c r="F18" s="577" t="n"/>
      <c r="G18" s="577" t="n"/>
      <c r="H18" s="591" t="n"/>
      <c r="I18" s="557"/>
    </row>
    <row r="19" ht="30" customHeight="1">
      <c r="A19" s="559" t="n"/>
      <c r="B19" s="592" t="n"/>
      <c r="C19" s="593" t="n"/>
      <c r="D19" s="593" t="n"/>
      <c r="E19" s="593" t="n"/>
      <c r="F19" s="593" t="n"/>
      <c r="G19" s="593" t="n"/>
      <c r="H19" s="594" t="n"/>
      <c r="I19" s="557"/>
    </row>
    <row r="20">
      <c r="A20" s="559" t="n"/>
      <c r="B20" s="559" t="n"/>
      <c r="C20" s="559" t="n"/>
      <c r="D20" s="559" t="n"/>
      <c r="E20" s="559" t="n"/>
      <c r="F20" s="559" t="n"/>
      <c r="G20" s="559" t="n"/>
      <c r="H20" s="559" t="n"/>
      <c r="I20" s="542"/>
    </row>
    <row r="21">
      <c r="A21" s="559" t="n"/>
      <c r="B21" s="559" t="n"/>
      <c r="C21" s="559" t="n"/>
      <c r="D21" s="559" t="n"/>
      <c r="E21" s="559" t="n"/>
      <c r="F21" s="559" t="n"/>
      <c r="G21" s="559" t="n"/>
      <c r="H21" s="559" t="n"/>
      <c r="I21" s="542"/>
    </row>
    <row r="22">
      <c r="A22" s="559" t="inlineStr">
        <is>
          <t>Check your work</t>
        </is>
      </c>
      <c r="B22" s="559" t="inlineStr">
        <is>
          <t>Status</t>
        </is>
      </c>
      <c r="C22" s="559" t="n"/>
      <c r="D22" s="559" t="n"/>
      <c r="E22" s="559" t="n"/>
      <c r="F22" s="559" t="n"/>
      <c r="G22" s="559" t="n"/>
      <c r="H22" s="559" t="n"/>
      <c r="I22" s="542"/>
    </row>
    <row r="23">
      <c r="A23" s="559" t="inlineStr">
        <is>
          <t>C eligible</t>
        </is>
      </c>
      <c r="B23" s="559">
        <f>IFERROR(IF(OR(ISBLANK('IN-CLASS_Lab Part C'!B7)),"Not started",IF(AND(ABS('IN-CLASS_Lab Part C'!B7-(100))&lt;=1e-09),"✓ Checked","Check the result")),"Formula error")</f>
        <v/>
      </c>
      <c r="C23" s="559" t="n"/>
      <c r="D23" s="559" t="n"/>
      <c r="E23" s="559" t="n"/>
      <c r="F23" s="559" t="n"/>
      <c r="G23" s="559" t="n"/>
      <c r="H23" s="559" t="n"/>
      <c r="I23" s="542"/>
    </row>
    <row r="24">
      <c r="A24" s="559" t="inlineStr">
        <is>
          <t>C slow</t>
        </is>
      </c>
      <c r="B24" s="559">
        <f>IFERROR(IF(OR(ISBLANK('IN-CLASS_Lab Part C'!B8)),"Not started",IF(AND(ABS('IN-CLASS_Lab Part C'!B8-(24))&lt;=1e-09),"✓ Checked","Check the result")),"Formula error")</f>
        <v/>
      </c>
      <c r="C24" s="559" t="n"/>
      <c r="D24" s="559" t="n"/>
      <c r="E24" s="559" t="n"/>
      <c r="F24" s="559" t="n"/>
      <c r="G24" s="559" t="n"/>
      <c r="H24" s="559" t="n"/>
      <c r="I24" s="542"/>
    </row>
    <row r="25">
      <c r="A25" s="559" t="inlineStr">
        <is>
          <t>C share</t>
        </is>
      </c>
      <c r="B25" s="559">
        <f>IFERROR(IF(OR(ISBLANK('IN-CLASS_Lab Part C'!B9)),"Not started",IF(AND(ABS('IN-CLASS_Lab Part C'!B9-(0.24))&lt;=0.0015),"✓ Checked","Check the result")),"Formula error")</f>
        <v/>
      </c>
      <c r="C25" s="559" t="n"/>
      <c r="D25" s="559" t="n"/>
      <c r="E25" s="559" t="n"/>
      <c r="F25" s="559" t="n"/>
      <c r="G25" s="559" t="n"/>
      <c r="H25" s="559" t="n"/>
      <c r="I25" s="542"/>
    </row>
    <row r="26">
      <c r="A26" s="559" t="inlineStr">
        <is>
          <t>C lower share</t>
        </is>
      </c>
      <c r="B26" s="559">
        <f>IFERROR(IF(OR(ISBLANK('IN-CLASS_Lab Part C'!B10)),"Not started",IF(AND(ABS('IN-CLASS_Lab Part C'!B10-(0.156291706504075))&lt;=0.0015),"✓ Checked","Check the result")),"Formula error")</f>
        <v/>
      </c>
      <c r="C26" s="559" t="n"/>
      <c r="D26" s="559" t="n"/>
      <c r="E26" s="559" t="n"/>
      <c r="F26" s="559" t="n"/>
      <c r="G26" s="559" t="n"/>
      <c r="H26" s="559" t="n"/>
      <c r="I26" s="542"/>
    </row>
    <row r="27">
      <c r="A27" s="559" t="inlineStr">
        <is>
          <t>C upper share</t>
        </is>
      </c>
      <c r="B27" s="559">
        <f>IFERROR(IF(OR(ISBLANK('IN-CLASS_Lab Part C'!B11)),"Not started",IF(AND(ABS('IN-CLASS_Lab Part C'!B11-(0.323708293495925))&lt;=0.0015),"✓ Checked","Check the result")),"Formula error")</f>
        <v/>
      </c>
      <c r="C27" s="559" t="n"/>
      <c r="D27" s="559" t="n"/>
      <c r="E27" s="559" t="n"/>
      <c r="F27" s="559" t="n"/>
      <c r="G27" s="559" t="n"/>
      <c r="H27" s="559" t="n"/>
      <c r="I27" s="542"/>
    </row>
    <row r="28">
      <c r="A28" s="559" t="inlineStr">
        <is>
          <t>C completed target</t>
        </is>
      </c>
      <c r="B28" s="559">
        <f>IFERROR(IF(OR(ISBLANK('IN-CLASS_Lab Part C'!B12)),"Not started",IF(AND(ABS('IN-CLASS_Lab Part C'!B12-(438))&lt;=1e-09),"✓ Checked","Check the result")),"Formula error")</f>
        <v/>
      </c>
      <c r="C28" s="559" t="n"/>
      <c r="D28" s="559" t="n"/>
      <c r="E28" s="559" t="n"/>
      <c r="F28" s="559" t="n"/>
      <c r="G28" s="559" t="n"/>
      <c r="H28" s="559" t="n"/>
      <c r="I28" s="542"/>
    </row>
    <row r="29">
      <c r="A29" s="559" t="n"/>
      <c r="B29" s="559" t="n"/>
      <c r="C29" s="559" t="n"/>
      <c r="D29" s="559" t="n"/>
      <c r="E29" s="559" t="n"/>
      <c r="F29" s="559" t="n"/>
      <c r="G29" s="559" t="n"/>
      <c r="H29" s="559" t="n"/>
      <c r="I29" s="542"/>
    </row>
    <row r="30" ht="30" customHeight="1">
      <c r="A30" s="559" t="inlineStr">
        <is>
          <t>Formatting is already set. Enter your formula, then press Enter. To restore: select cell &gt; Format Cells &gt; Number or Custom.</t>
        </is>
      </c>
      <c r="B30" s="559" t="n"/>
      <c r="C30" s="559" t="n"/>
      <c r="D30" s="559" t="n"/>
      <c r="E30" s="559" t="n"/>
      <c r="F30" s="559" t="n"/>
      <c r="G30" s="559" t="n"/>
      <c r="H30" s="559" t="n"/>
      <c r="I30" s="542"/>
    </row>
    <row r="31" ht="32" customHeight="1">
      <c r="A31" s="559" t="inlineStr">
        <is>
          <t>B7</t>
        </is>
      </c>
      <c r="B31" s="559" t="inlineStr">
        <is>
          <t>Number, 0 decimals, pickups; unrelated formatting example only: stored 7 displays as 7 pickups. This is not a check value. | Format code: 0</t>
        </is>
      </c>
      <c r="C31" s="559" t="n"/>
      <c r="D31" s="559" t="n"/>
      <c r="E31" s="559" t="n"/>
      <c r="F31" s="559" t="n"/>
      <c r="G31" s="559" t="n"/>
      <c r="H31" s="559" t="n"/>
      <c r="I31" s="542"/>
    </row>
    <row r="32" ht="32" customHeight="1">
      <c r="A32" s="559" t="inlineStr">
        <is>
          <t>B8</t>
        </is>
      </c>
      <c r="B32" s="559" t="inlineStr">
        <is>
          <t>Number, 0 decimals, pickups; unrelated formatting example only: stored 7 displays as 7 pickups. This is not a check value. | Format code: 0</t>
        </is>
      </c>
      <c r="C32" s="559" t="n"/>
      <c r="D32" s="559" t="n"/>
      <c r="E32" s="559" t="n"/>
      <c r="F32" s="559" t="n"/>
      <c r="G32" s="559" t="n"/>
      <c r="H32" s="559" t="n"/>
      <c r="I32" s="542"/>
    </row>
    <row r="33" ht="32" customHeight="1">
      <c r="A33" s="559" t="inlineStr">
        <is>
          <t>B9</t>
        </is>
      </c>
      <c r="B33" s="559" t="inlineStr">
        <is>
          <t>Percentage, 1 decimal, percent of eligible recorded outcomes; unrelated formatting example only: stored 0.125 displays as 12.5%. This is not a check value. | Format code: 0.0%</t>
        </is>
      </c>
      <c r="C33" s="559" t="n"/>
      <c r="D33" s="559" t="n"/>
      <c r="E33" s="559" t="n"/>
      <c r="F33" s="559" t="n"/>
      <c r="G33" s="559" t="n"/>
      <c r="H33" s="559" t="n"/>
      <c r="I33" s="542"/>
    </row>
    <row r="34" ht="32" customHeight="1">
      <c r="A34" s="559" t="inlineStr">
        <is>
          <t>B10</t>
        </is>
      </c>
      <c r="B34" s="559" t="inlineStr">
        <is>
          <t>Percentage, 2 decimals, percent of eligible recorded outcomes; unrelated formatting example only: stored 0.125 displays as 12.50%. This is not a check value. | Format code: 0.00%</t>
        </is>
      </c>
      <c r="C34" s="559" t="n"/>
      <c r="D34" s="559" t="n"/>
      <c r="E34" s="559" t="n"/>
      <c r="F34" s="559" t="n"/>
      <c r="G34" s="559" t="n"/>
      <c r="H34" s="559" t="n"/>
      <c r="I34" s="542"/>
    </row>
    <row r="35" ht="32" customHeight="1">
      <c r="A35" s="559" t="inlineStr">
        <is>
          <t>B11</t>
        </is>
      </c>
      <c r="B35" s="559" t="inlineStr">
        <is>
          <t>Percentage, 2 decimals, percent of eligible recorded outcomes; unrelated formatting example only: stored 0.125 displays as 12.50%. This is not a check value. | Format code: 0.00%</t>
        </is>
      </c>
      <c r="C35" s="559" t="n"/>
      <c r="D35" s="559" t="n"/>
      <c r="E35" s="559" t="n"/>
      <c r="F35" s="559" t="n"/>
      <c r="G35" s="559" t="n"/>
      <c r="H35" s="559" t="n"/>
      <c r="I35" s="542"/>
    </row>
    <row r="36" ht="32" customHeight="1">
      <c r="A36" s="559" t="inlineStr">
        <is>
          <t>B12</t>
        </is>
      </c>
      <c r="B36" s="559" t="inlineStr">
        <is>
          <t>Number, 0 decimals, completed pickups; unrelated formatting example only: stored 7 displays as 7 completed pickups. This is not a check value. | Format code: 0</t>
        </is>
      </c>
      <c r="C36" s="559" t="n"/>
      <c r="D36" s="559" t="n"/>
      <c r="E36" s="559" t="n"/>
      <c r="F36" s="559" t="n"/>
      <c r="G36" s="559" t="n"/>
      <c r="H36" s="559" t="n"/>
      <c r="I36" s="542"/>
    </row>
    <row r="37">
      <c r="I37" s="542"/>
    </row>
    <row r="38">
      <c r="I38" s="542"/>
    </row>
    <row r="39">
      <c r="I39" s="542"/>
    </row>
    <row r="40">
      <c r="I40" s="542"/>
    </row>
  </sheetData>
  <mergeCells count="29">
    <mergeCell ref="A30:H30"/>
    <mergeCell ref="E7:H7"/>
    <mergeCell ref="B33:H33"/>
    <mergeCell ref="A1:H1"/>
    <mergeCell ref="B15:H19"/>
    <mergeCell ref="B36:H36"/>
    <mergeCell ref="B32:H32"/>
    <mergeCell ref="C10:D10"/>
    <mergeCell ref="B35:H35"/>
    <mergeCell ref="E12:H12"/>
    <mergeCell ref="C9:D9"/>
    <mergeCell ref="B31:H31"/>
    <mergeCell ref="C12:D12"/>
    <mergeCell ref="A3:H3"/>
    <mergeCell ref="E8:H8"/>
    <mergeCell ref="C11:D11"/>
    <mergeCell ref="A2:H2"/>
    <mergeCell ref="A5:H5"/>
    <mergeCell ref="E10:H10"/>
    <mergeCell ref="C8:D8"/>
    <mergeCell ref="A4:H4"/>
    <mergeCell ref="B14:H14"/>
    <mergeCell ref="E9:H9"/>
    <mergeCell ref="C7:D7"/>
    <mergeCell ref="B13:H13"/>
    <mergeCell ref="E11:H11"/>
    <mergeCell ref="B34:H34"/>
    <mergeCell ref="I5:I6"/>
    <mergeCell ref="I15:I19"/>
  </mergeCells>
  <dataValidations count="1">
    <dataValidation sqref="B13" showDropDown="0" showInputMessage="1" showErrorMessage="1" allowBlank="1" errorTitle="Choose one option" error="Use the dropdown, then explain your reason in the adjacent response area." promptTitle="Choose, then explain" prompt="Pick the best statement for your evidence. Nothing is preselected." type="list">
      <formula1>=LabChoices_3</formula1>
    </dataValidation>
  </dataValidation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68" customWidth="1" min="7" max="7"/>
    <col hidden="1" width="13" customWidth="1" min="9" max="9"/>
    <col hidden="1" width="13" customWidth="1" min="10" max="10"/>
    <col hidden="1" width="13" customWidth="1" min="11" max="11"/>
  </cols>
  <sheetData>
    <row r="1" ht="32" customHeight="1">
      <c r="A1" t="inlineStr">
        <is>
          <t>pickup_id</t>
        </is>
      </c>
      <c r="B1" t="inlineStr">
        <is>
          <t>invitation_status</t>
        </is>
      </c>
      <c r="C1" t="inlineStr">
        <is>
          <t>delay_flag</t>
        </is>
      </c>
      <c r="D1" t="inlineStr">
        <is>
          <t>slow_flag</t>
        </is>
      </c>
      <c r="E1" t="inlineStr">
        <is>
          <t>duration</t>
        </is>
      </c>
      <c r="G1" s="34" t="inlineStr">
        <is>
          <t>Shared data: cedar_loop_pickups.csv</t>
        </is>
      </c>
      <c r="I1" t="inlineStr">
        <is>
          <t>The respondent rate describes observed outcomes, while invitation bounds show how missing outcomes could change the share.</t>
        </is>
      </c>
      <c r="J1" t="inlineStr">
        <is>
          <t>The interval proves that hiring additional staff will reduce duration.</t>
        </is>
      </c>
      <c r="K1" t="inlineStr">
        <is>
          <t>The planned sample size is automatically the number of invitations needed.</t>
        </is>
      </c>
    </row>
    <row r="2" ht="32" customHeight="1">
      <c r="A2" t="inlineStr">
        <is>
          <t>CL000001</t>
        </is>
      </c>
      <c r="B2" t="inlineStr">
        <is>
          <t>not_invited</t>
        </is>
      </c>
      <c r="G2" s="34" t="inlineStr">
        <is>
          <t>Excel: use the table on this sheet. SPSS: use the supplied .sps import.</t>
        </is>
      </c>
      <c r="I2" t="inlineStr">
        <is>
          <t>The respondent rate alone establishes the delay share for every pickup in the frame.</t>
        </is>
      </c>
      <c r="J2" t="inlineStr">
        <is>
          <t>The interval estimates a population mean, so it does not show where 95% of individual durations fall.</t>
        </is>
      </c>
      <c r="K2" t="inlineStr">
        <is>
          <t>A percentage-point margin is a percent change relative to the respondent share.</t>
        </is>
      </c>
    </row>
    <row r="3" ht="32" customHeight="1">
      <c r="A3" t="inlineStr">
        <is>
          <t>CL000002</t>
        </is>
      </c>
      <c r="B3" t="inlineStr">
        <is>
          <t>not_invited</t>
        </is>
      </c>
      <c r="G3" s="34" t="inlineStr">
        <is>
          <t>Python/R: read the matching CSV with the types and missing rules below.</t>
        </is>
      </c>
      <c r="I3" t="inlineStr">
        <is>
          <t>The invitation bounds assign known probabilities to the missing outcomes.</t>
        </is>
      </c>
      <c r="J3" t="inlineStr">
        <is>
          <t>The interval contains 95% of recorded individual durations.</t>
        </is>
      </c>
      <c r="K3" t="inlineStr">
        <is>
          <t>A completed-sample precision target does not by itself correct missing-outcome bias.</t>
        </is>
      </c>
    </row>
    <row r="4" ht="32" customHeight="1">
      <c r="A4" t="inlineStr">
        <is>
          <t>CL000003</t>
        </is>
      </c>
      <c r="B4" t="inlineStr">
        <is>
          <t>not_invited</t>
        </is>
      </c>
      <c r="G4" s="34" t="inlineStr">
        <is>
          <t>pickup_id | text | Identifier for one recorded pickup; preserve leading zeroes. | units: pickup ID | missing: blank []</t>
        </is>
      </c>
      <c r="I4" t="inlineStr">
        <is>
          <t>Not-invited pickups should be counted as nonrespondents in the invitation bounds.</t>
        </is>
      </c>
      <c r="J4" t="inlineStr">
        <is>
          <t>The interval is a range for the 2,400-row count rather than for duration.</t>
        </is>
      </c>
      <c r="K4" t="inlineStr">
        <is>
          <t>The observed event share proves permanent staffing changes pickup outcomes.</t>
        </is>
      </c>
    </row>
    <row r="5" ht="32" customHeight="1">
      <c r="A5" t="inlineStr">
        <is>
          <t>CL000004</t>
        </is>
      </c>
      <c r="B5" t="inlineStr">
        <is>
          <t>responded</t>
        </is>
      </c>
      <c r="C5" t="n">
        <v>1</v>
      </c>
      <c r="D5" t="n">
        <v>1</v>
      </c>
      <c r="E5" t="n">
        <v>63.24711745155093</v>
      </c>
      <c r="G5" s="34" t="inlineStr">
        <is>
          <t>invitation_status | text | One of responded, nonresponse or not_invited. | units: category | missing: blank []</t>
        </is>
      </c>
    </row>
    <row r="6" ht="42" customHeight="1">
      <c r="A6" t="inlineStr">
        <is>
          <t>CL000005</t>
        </is>
      </c>
      <c r="B6" t="inlineStr">
        <is>
          <t>not_invited</t>
        </is>
      </c>
      <c r="G6" s="34" t="inlineStr">
        <is>
          <t>delay_flag | number | Observed delay: 1 for duration greater than 50 minutes, otherwise 0; blank unobserved. | units: binary indicator | missing: blank ['']</t>
        </is>
      </c>
    </row>
    <row r="7" ht="42" customHeight="1">
      <c r="A7" t="inlineStr">
        <is>
          <t>CL000006</t>
        </is>
      </c>
      <c r="B7" t="inlineStr">
        <is>
          <t>not_invited</t>
        </is>
      </c>
      <c r="G7" s="34" t="inlineStr">
        <is>
          <t>slow_flag | number | Exact alias of delay_flag for this case: 1 for duration greater than 50 minutes, otherwise 0; blank unobserved. | units: binary indicator | missing: blank ['']</t>
        </is>
      </c>
    </row>
    <row r="8" ht="32" customHeight="1">
      <c r="A8" t="inlineStr">
        <is>
          <t>CL000007</t>
        </is>
      </c>
      <c r="B8" t="inlineStr">
        <is>
          <t>not_invited</t>
        </is>
      </c>
      <c r="G8" s="34" t="inlineStr">
        <is>
          <t>duration | number | Recorded pickup duration; blank unobserved. | units: minutes | missing: blank ['']</t>
        </is>
      </c>
    </row>
    <row r="9">
      <c r="A9" t="inlineStr">
        <is>
          <t>CL000008</t>
        </is>
      </c>
      <c r="B9" t="inlineStr">
        <is>
          <t>not_invited</t>
        </is>
      </c>
    </row>
    <row r="10">
      <c r="A10" t="inlineStr">
        <is>
          <t>CL000009</t>
        </is>
      </c>
      <c r="B10" t="inlineStr">
        <is>
          <t>not_invited</t>
        </is>
      </c>
    </row>
    <row r="11">
      <c r="A11" t="inlineStr">
        <is>
          <t>CL000010</t>
        </is>
      </c>
      <c r="B11" t="inlineStr">
        <is>
          <t>not_invited</t>
        </is>
      </c>
    </row>
    <row r="12">
      <c r="A12" t="inlineStr">
        <is>
          <t>CL000011</t>
        </is>
      </c>
      <c r="B12" t="inlineStr">
        <is>
          <t>not_invited</t>
        </is>
      </c>
    </row>
    <row r="13">
      <c r="A13" t="inlineStr">
        <is>
          <t>CL000012</t>
        </is>
      </c>
      <c r="B13" t="inlineStr">
        <is>
          <t>not_invited</t>
        </is>
      </c>
    </row>
    <row r="14">
      <c r="A14" t="inlineStr">
        <is>
          <t>CL000013</t>
        </is>
      </c>
      <c r="B14" t="inlineStr">
        <is>
          <t>not_invited</t>
        </is>
      </c>
    </row>
    <row r="15">
      <c r="A15" t="inlineStr">
        <is>
          <t>CL000014</t>
        </is>
      </c>
      <c r="B15" t="inlineStr">
        <is>
          <t>not_invited</t>
        </is>
      </c>
    </row>
    <row r="16">
      <c r="A16" t="inlineStr">
        <is>
          <t>CL000015</t>
        </is>
      </c>
      <c r="B16" t="inlineStr">
        <is>
          <t>not_invited</t>
        </is>
      </c>
    </row>
    <row r="17">
      <c r="A17" t="inlineStr">
        <is>
          <t>CL000016</t>
        </is>
      </c>
      <c r="B17" t="inlineStr">
        <is>
          <t>not_invited</t>
        </is>
      </c>
    </row>
    <row r="18">
      <c r="A18" t="inlineStr">
        <is>
          <t>CL000017</t>
        </is>
      </c>
      <c r="B18" t="inlineStr">
        <is>
          <t>not_invited</t>
        </is>
      </c>
    </row>
    <row r="19">
      <c r="A19" t="inlineStr">
        <is>
          <t>CL000018</t>
        </is>
      </c>
      <c r="B19" t="inlineStr">
        <is>
          <t>not_invited</t>
        </is>
      </c>
    </row>
    <row r="20">
      <c r="A20" t="inlineStr">
        <is>
          <t>CL000019</t>
        </is>
      </c>
      <c r="B20" t="inlineStr">
        <is>
          <t>not_invited</t>
        </is>
      </c>
    </row>
    <row r="21">
      <c r="A21" t="inlineStr">
        <is>
          <t>CL000020</t>
        </is>
      </c>
      <c r="B21" t="inlineStr">
        <is>
          <t>not_invited</t>
        </is>
      </c>
    </row>
    <row r="22">
      <c r="A22" t="inlineStr">
        <is>
          <t>CL000021</t>
        </is>
      </c>
      <c r="B22" t="inlineStr">
        <is>
          <t>not_invited</t>
        </is>
      </c>
    </row>
    <row r="23">
      <c r="A23" t="inlineStr">
        <is>
          <t>CL000022</t>
        </is>
      </c>
      <c r="B23" t="inlineStr">
        <is>
          <t>not_invited</t>
        </is>
      </c>
    </row>
    <row r="24">
      <c r="A24" t="inlineStr">
        <is>
          <t>CL000023</t>
        </is>
      </c>
      <c r="B24" t="inlineStr">
        <is>
          <t>responded</t>
        </is>
      </c>
      <c r="C24" t="n">
        <v>1</v>
      </c>
      <c r="D24" t="n">
        <v>1</v>
      </c>
      <c r="E24" t="n">
        <v>63.24711745155093</v>
      </c>
    </row>
    <row r="25">
      <c r="A25" t="inlineStr">
        <is>
          <t>CL000024</t>
        </is>
      </c>
      <c r="B25" t="inlineStr">
        <is>
          <t>not_invited</t>
        </is>
      </c>
    </row>
    <row r="26">
      <c r="A26" t="inlineStr">
        <is>
          <t>CL000025</t>
        </is>
      </c>
      <c r="B26" t="inlineStr">
        <is>
          <t>not_invited</t>
        </is>
      </c>
    </row>
    <row r="27">
      <c r="A27" t="inlineStr">
        <is>
          <t>CL000026</t>
        </is>
      </c>
      <c r="B27" t="inlineStr">
        <is>
          <t>not_invited</t>
        </is>
      </c>
    </row>
    <row r="28">
      <c r="A28" t="inlineStr">
        <is>
          <t>CL000027</t>
        </is>
      </c>
      <c r="B28" t="inlineStr">
        <is>
          <t>not_invited</t>
        </is>
      </c>
    </row>
    <row r="29">
      <c r="A29" t="inlineStr">
        <is>
          <t>CL000028</t>
        </is>
      </c>
      <c r="B29" t="inlineStr">
        <is>
          <t>not_invited</t>
        </is>
      </c>
    </row>
    <row r="30">
      <c r="A30" t="inlineStr">
        <is>
          <t>CL000029</t>
        </is>
      </c>
      <c r="B30" t="inlineStr">
        <is>
          <t>not_invited</t>
        </is>
      </c>
    </row>
    <row r="31">
      <c r="A31" t="inlineStr">
        <is>
          <t>CL000030</t>
        </is>
      </c>
      <c r="B31" t="inlineStr">
        <is>
          <t>not_invited</t>
        </is>
      </c>
    </row>
    <row r="32">
      <c r="A32" t="inlineStr">
        <is>
          <t>CL000031</t>
        </is>
      </c>
      <c r="B32" t="inlineStr">
        <is>
          <t>not_invited</t>
        </is>
      </c>
    </row>
    <row r="33">
      <c r="A33" t="inlineStr">
        <is>
          <t>CL000032</t>
        </is>
      </c>
      <c r="B33" t="inlineStr">
        <is>
          <t>not_invited</t>
        </is>
      </c>
    </row>
    <row r="34">
      <c r="A34" t="inlineStr">
        <is>
          <t>CL000033</t>
        </is>
      </c>
      <c r="B34" t="inlineStr">
        <is>
          <t>not_invited</t>
        </is>
      </c>
    </row>
    <row r="35">
      <c r="A35" t="inlineStr">
        <is>
          <t>CL000034</t>
        </is>
      </c>
      <c r="B35" t="inlineStr">
        <is>
          <t>not_invited</t>
        </is>
      </c>
    </row>
    <row r="36">
      <c r="A36" t="inlineStr">
        <is>
          <t>CL000035</t>
        </is>
      </c>
      <c r="B36" t="inlineStr">
        <is>
          <t>not_invited</t>
        </is>
      </c>
    </row>
    <row r="37">
      <c r="A37" t="inlineStr">
        <is>
          <t>CL000036</t>
        </is>
      </c>
      <c r="B37" t="inlineStr">
        <is>
          <t>not_invited</t>
        </is>
      </c>
    </row>
    <row r="38">
      <c r="A38" t="inlineStr">
        <is>
          <t>CL000037</t>
        </is>
      </c>
      <c r="B38" t="inlineStr">
        <is>
          <t>not_invited</t>
        </is>
      </c>
    </row>
    <row r="39">
      <c r="A39" t="inlineStr">
        <is>
          <t>CL000038</t>
        </is>
      </c>
      <c r="B39" t="inlineStr">
        <is>
          <t>not_invited</t>
        </is>
      </c>
    </row>
    <row r="40">
      <c r="A40" t="inlineStr">
        <is>
          <t>CL000039</t>
        </is>
      </c>
      <c r="B40" t="inlineStr">
        <is>
          <t>responded</t>
        </is>
      </c>
      <c r="C40" t="n">
        <v>1</v>
      </c>
      <c r="D40" t="n">
        <v>1</v>
      </c>
      <c r="E40" t="n">
        <v>63.24711745155093</v>
      </c>
    </row>
    <row r="41">
      <c r="A41" t="inlineStr">
        <is>
          <t>CL000040</t>
        </is>
      </c>
      <c r="B41" t="inlineStr">
        <is>
          <t>responded</t>
        </is>
      </c>
      <c r="C41" t="n">
        <v>1</v>
      </c>
      <c r="D41" t="n">
        <v>1</v>
      </c>
      <c r="E41" t="n">
        <v>63.24711745155093</v>
      </c>
    </row>
    <row r="42">
      <c r="A42" t="inlineStr">
        <is>
          <t>CL000041</t>
        </is>
      </c>
      <c r="B42" t="inlineStr">
        <is>
          <t>not_invited</t>
        </is>
      </c>
    </row>
    <row r="43">
      <c r="A43" t="inlineStr">
        <is>
          <t>CL000042</t>
        </is>
      </c>
      <c r="B43" t="inlineStr">
        <is>
          <t>not_invited</t>
        </is>
      </c>
    </row>
    <row r="44">
      <c r="A44" t="inlineStr">
        <is>
          <t>CL000043</t>
        </is>
      </c>
      <c r="B44" t="inlineStr">
        <is>
          <t>not_invited</t>
        </is>
      </c>
    </row>
    <row r="45">
      <c r="A45" t="inlineStr">
        <is>
          <t>CL000044</t>
        </is>
      </c>
      <c r="B45" t="inlineStr">
        <is>
          <t>not_invited</t>
        </is>
      </c>
    </row>
    <row r="46">
      <c r="A46" t="inlineStr">
        <is>
          <t>CL000045</t>
        </is>
      </c>
      <c r="B46" t="inlineStr">
        <is>
          <t>not_invited</t>
        </is>
      </c>
    </row>
    <row r="47">
      <c r="A47" t="inlineStr">
        <is>
          <t>CL000046</t>
        </is>
      </c>
      <c r="B47" t="inlineStr">
        <is>
          <t>not_invited</t>
        </is>
      </c>
    </row>
    <row r="48">
      <c r="A48" t="inlineStr">
        <is>
          <t>CL000047</t>
        </is>
      </c>
      <c r="B48" t="inlineStr">
        <is>
          <t>not_invited</t>
        </is>
      </c>
    </row>
    <row r="49">
      <c r="A49" t="inlineStr">
        <is>
          <t>CL000048</t>
        </is>
      </c>
      <c r="B49" t="inlineStr">
        <is>
          <t>responded</t>
        </is>
      </c>
      <c r="C49" t="n">
        <v>0</v>
      </c>
      <c r="D49" t="n">
        <v>0</v>
      </c>
      <c r="E49" t="n">
        <v>35.29038396266813</v>
      </c>
    </row>
    <row r="50">
      <c r="A50" t="inlineStr">
        <is>
          <t>CL000049</t>
        </is>
      </c>
      <c r="B50" t="inlineStr">
        <is>
          <t>not_invited</t>
        </is>
      </c>
    </row>
    <row r="51">
      <c r="A51" t="inlineStr">
        <is>
          <t>CL000050</t>
        </is>
      </c>
      <c r="B51" t="inlineStr">
        <is>
          <t>not_invited</t>
        </is>
      </c>
    </row>
    <row r="52">
      <c r="A52" t="inlineStr">
        <is>
          <t>CL000051</t>
        </is>
      </c>
      <c r="B52" t="inlineStr">
        <is>
          <t>not_invited</t>
        </is>
      </c>
    </row>
    <row r="53">
      <c r="A53" t="inlineStr">
        <is>
          <t>CL000052</t>
        </is>
      </c>
      <c r="B53" t="inlineStr">
        <is>
          <t>not_invited</t>
        </is>
      </c>
    </row>
    <row r="54">
      <c r="A54" t="inlineStr">
        <is>
          <t>CL000053</t>
        </is>
      </c>
      <c r="B54" t="inlineStr">
        <is>
          <t>not_invited</t>
        </is>
      </c>
    </row>
    <row r="55">
      <c r="A55" t="inlineStr">
        <is>
          <t>CL000054</t>
        </is>
      </c>
      <c r="B55" t="inlineStr">
        <is>
          <t>not_invited</t>
        </is>
      </c>
    </row>
    <row r="56">
      <c r="A56" t="inlineStr">
        <is>
          <t>CL000055</t>
        </is>
      </c>
      <c r="B56" t="inlineStr">
        <is>
          <t>not_invited</t>
        </is>
      </c>
    </row>
    <row r="57">
      <c r="A57" t="inlineStr">
        <is>
          <t>CL000056</t>
        </is>
      </c>
      <c r="B57" t="inlineStr">
        <is>
          <t>not_invited</t>
        </is>
      </c>
    </row>
    <row r="58">
      <c r="A58" t="inlineStr">
        <is>
          <t>CL000057</t>
        </is>
      </c>
      <c r="B58" t="inlineStr">
        <is>
          <t>not_invited</t>
        </is>
      </c>
    </row>
    <row r="59">
      <c r="A59" t="inlineStr">
        <is>
          <t>CL000058</t>
        </is>
      </c>
      <c r="B59" t="inlineStr">
        <is>
          <t>not_invited</t>
        </is>
      </c>
    </row>
    <row r="60">
      <c r="A60" t="inlineStr">
        <is>
          <t>CL000059</t>
        </is>
      </c>
      <c r="B60" t="inlineStr">
        <is>
          <t>not_invited</t>
        </is>
      </c>
    </row>
    <row r="61">
      <c r="A61" t="inlineStr">
        <is>
          <t>CL000060</t>
        </is>
      </c>
      <c r="B61" t="inlineStr">
        <is>
          <t>not_invited</t>
        </is>
      </c>
    </row>
    <row r="62">
      <c r="A62" t="inlineStr">
        <is>
          <t>CL000061</t>
        </is>
      </c>
      <c r="B62" t="inlineStr">
        <is>
          <t>not_invited</t>
        </is>
      </c>
    </row>
    <row r="63">
      <c r="A63" t="inlineStr">
        <is>
          <t>CL000062</t>
        </is>
      </c>
      <c r="B63" t="inlineStr">
        <is>
          <t>not_invited</t>
        </is>
      </c>
    </row>
    <row r="64">
      <c r="A64" t="inlineStr">
        <is>
          <t>CL000063</t>
        </is>
      </c>
      <c r="B64" t="inlineStr">
        <is>
          <t>not_invited</t>
        </is>
      </c>
    </row>
    <row r="65">
      <c r="A65" t="inlineStr">
        <is>
          <t>CL000064</t>
        </is>
      </c>
      <c r="B65" t="inlineStr">
        <is>
          <t>not_invited</t>
        </is>
      </c>
    </row>
    <row r="66">
      <c r="A66" t="inlineStr">
        <is>
          <t>CL000065</t>
        </is>
      </c>
      <c r="B66" t="inlineStr">
        <is>
          <t>not_invited</t>
        </is>
      </c>
    </row>
    <row r="67">
      <c r="A67" t="inlineStr">
        <is>
          <t>CL000066</t>
        </is>
      </c>
      <c r="B67" t="inlineStr">
        <is>
          <t>nonresponse</t>
        </is>
      </c>
    </row>
    <row r="68">
      <c r="A68" t="inlineStr">
        <is>
          <t>CL000067</t>
        </is>
      </c>
      <c r="B68" t="inlineStr">
        <is>
          <t>not_invited</t>
        </is>
      </c>
    </row>
    <row r="69">
      <c r="A69" t="inlineStr">
        <is>
          <t>CL000068</t>
        </is>
      </c>
      <c r="B69" t="inlineStr">
        <is>
          <t>not_invited</t>
        </is>
      </c>
    </row>
    <row r="70">
      <c r="A70" t="inlineStr">
        <is>
          <t>CL000069</t>
        </is>
      </c>
      <c r="B70" t="inlineStr">
        <is>
          <t>not_invited</t>
        </is>
      </c>
    </row>
    <row r="71">
      <c r="A71" t="inlineStr">
        <is>
          <t>CL000070</t>
        </is>
      </c>
      <c r="B71" t="inlineStr">
        <is>
          <t>not_invited</t>
        </is>
      </c>
    </row>
    <row r="72">
      <c r="A72" t="inlineStr">
        <is>
          <t>CL000071</t>
        </is>
      </c>
      <c r="B72" t="inlineStr">
        <is>
          <t>not_invited</t>
        </is>
      </c>
    </row>
    <row r="73">
      <c r="A73" t="inlineStr">
        <is>
          <t>CL000072</t>
        </is>
      </c>
      <c r="B73" t="inlineStr">
        <is>
          <t>not_invited</t>
        </is>
      </c>
    </row>
    <row r="74">
      <c r="A74" t="inlineStr">
        <is>
          <t>CL000073</t>
        </is>
      </c>
      <c r="B74" t="inlineStr">
        <is>
          <t>not_invited</t>
        </is>
      </c>
    </row>
    <row r="75">
      <c r="A75" t="inlineStr">
        <is>
          <t>CL000074</t>
        </is>
      </c>
      <c r="B75" t="inlineStr">
        <is>
          <t>not_invited</t>
        </is>
      </c>
    </row>
    <row r="76">
      <c r="A76" t="inlineStr">
        <is>
          <t>CL000075</t>
        </is>
      </c>
      <c r="B76" t="inlineStr">
        <is>
          <t>not_invited</t>
        </is>
      </c>
    </row>
    <row r="77">
      <c r="A77" t="inlineStr">
        <is>
          <t>CL000076</t>
        </is>
      </c>
      <c r="B77" t="inlineStr">
        <is>
          <t>not_invited</t>
        </is>
      </c>
    </row>
    <row r="78">
      <c r="A78" t="inlineStr">
        <is>
          <t>CL000077</t>
        </is>
      </c>
      <c r="B78" t="inlineStr">
        <is>
          <t>not_invited</t>
        </is>
      </c>
    </row>
    <row r="79">
      <c r="A79" t="inlineStr">
        <is>
          <t>CL000078</t>
        </is>
      </c>
      <c r="B79" t="inlineStr">
        <is>
          <t>not_invited</t>
        </is>
      </c>
    </row>
    <row r="80">
      <c r="A80" t="inlineStr">
        <is>
          <t>CL000079</t>
        </is>
      </c>
      <c r="B80" t="inlineStr">
        <is>
          <t>not_invited</t>
        </is>
      </c>
    </row>
    <row r="81">
      <c r="A81" t="inlineStr">
        <is>
          <t>CL000080</t>
        </is>
      </c>
      <c r="B81" t="inlineStr">
        <is>
          <t>not_invited</t>
        </is>
      </c>
    </row>
    <row r="82">
      <c r="A82" t="inlineStr">
        <is>
          <t>CL000081</t>
        </is>
      </c>
      <c r="B82" t="inlineStr">
        <is>
          <t>not_invited</t>
        </is>
      </c>
    </row>
    <row r="83">
      <c r="A83" t="inlineStr">
        <is>
          <t>CL000082</t>
        </is>
      </c>
      <c r="B83" t="inlineStr">
        <is>
          <t>not_invited</t>
        </is>
      </c>
    </row>
    <row r="84">
      <c r="A84" t="inlineStr">
        <is>
          <t>CL000083</t>
        </is>
      </c>
      <c r="B84" t="inlineStr">
        <is>
          <t>not_invited</t>
        </is>
      </c>
    </row>
    <row r="85">
      <c r="A85" t="inlineStr">
        <is>
          <t>CL000084</t>
        </is>
      </c>
      <c r="B85" t="inlineStr">
        <is>
          <t>not_invited</t>
        </is>
      </c>
    </row>
    <row r="86">
      <c r="A86" t="inlineStr">
        <is>
          <t>CL000085</t>
        </is>
      </c>
      <c r="B86" t="inlineStr">
        <is>
          <t>not_invited</t>
        </is>
      </c>
    </row>
    <row r="87">
      <c r="A87" t="inlineStr">
        <is>
          <t>CL000086</t>
        </is>
      </c>
      <c r="B87" t="inlineStr">
        <is>
          <t>not_invited</t>
        </is>
      </c>
    </row>
    <row r="88">
      <c r="A88" t="inlineStr">
        <is>
          <t>CL000087</t>
        </is>
      </c>
      <c r="B88" t="inlineStr">
        <is>
          <t>not_invited</t>
        </is>
      </c>
    </row>
    <row r="89">
      <c r="A89" t="inlineStr">
        <is>
          <t>CL000088</t>
        </is>
      </c>
      <c r="B89" t="inlineStr">
        <is>
          <t>not_invited</t>
        </is>
      </c>
    </row>
    <row r="90">
      <c r="A90" t="inlineStr">
        <is>
          <t>CL000089</t>
        </is>
      </c>
      <c r="B90" t="inlineStr">
        <is>
          <t>not_invited</t>
        </is>
      </c>
    </row>
    <row r="91">
      <c r="A91" t="inlineStr">
        <is>
          <t>CL000090</t>
        </is>
      </c>
      <c r="B91" t="inlineStr">
        <is>
          <t>not_invited</t>
        </is>
      </c>
    </row>
    <row r="92">
      <c r="A92" t="inlineStr">
        <is>
          <t>CL000091</t>
        </is>
      </c>
      <c r="B92" t="inlineStr">
        <is>
          <t>not_invited</t>
        </is>
      </c>
    </row>
    <row r="93">
      <c r="A93" t="inlineStr">
        <is>
          <t>CL000092</t>
        </is>
      </c>
      <c r="B93" t="inlineStr">
        <is>
          <t>not_invited</t>
        </is>
      </c>
    </row>
    <row r="94">
      <c r="A94" t="inlineStr">
        <is>
          <t>CL000093</t>
        </is>
      </c>
      <c r="B94" t="inlineStr">
        <is>
          <t>not_invited</t>
        </is>
      </c>
    </row>
    <row r="95">
      <c r="A95" t="inlineStr">
        <is>
          <t>CL000094</t>
        </is>
      </c>
      <c r="B95" t="inlineStr">
        <is>
          <t>not_invited</t>
        </is>
      </c>
    </row>
    <row r="96">
      <c r="A96" t="inlineStr">
        <is>
          <t>CL000095</t>
        </is>
      </c>
      <c r="B96" t="inlineStr">
        <is>
          <t>not_invited</t>
        </is>
      </c>
    </row>
    <row r="97">
      <c r="A97" t="inlineStr">
        <is>
          <t>CL000096</t>
        </is>
      </c>
      <c r="B97" t="inlineStr">
        <is>
          <t>not_invited</t>
        </is>
      </c>
    </row>
    <row r="98">
      <c r="A98" t="inlineStr">
        <is>
          <t>CL000097</t>
        </is>
      </c>
      <c r="B98" t="inlineStr">
        <is>
          <t>not_invited</t>
        </is>
      </c>
    </row>
    <row r="99">
      <c r="A99" t="inlineStr">
        <is>
          <t>CL000098</t>
        </is>
      </c>
      <c r="B99" t="inlineStr">
        <is>
          <t>responded</t>
        </is>
      </c>
      <c r="C99" t="n">
        <v>0</v>
      </c>
      <c r="D99" t="n">
        <v>0</v>
      </c>
      <c r="E99" t="n">
        <v>35.29038396266813</v>
      </c>
    </row>
    <row r="100">
      <c r="A100" t="inlineStr">
        <is>
          <t>CL000099</t>
        </is>
      </c>
      <c r="B100" t="inlineStr">
        <is>
          <t>not_invited</t>
        </is>
      </c>
    </row>
    <row r="101">
      <c r="A101" t="inlineStr">
        <is>
          <t>CL000100</t>
        </is>
      </c>
      <c r="B101" t="inlineStr">
        <is>
          <t>not_invited</t>
        </is>
      </c>
    </row>
    <row r="102">
      <c r="A102" t="inlineStr">
        <is>
          <t>CL000101</t>
        </is>
      </c>
      <c r="B102" t="inlineStr">
        <is>
          <t>not_invited</t>
        </is>
      </c>
    </row>
    <row r="103">
      <c r="A103" t="inlineStr">
        <is>
          <t>CL000102</t>
        </is>
      </c>
      <c r="B103" t="inlineStr">
        <is>
          <t>responded</t>
        </is>
      </c>
      <c r="C103" t="n">
        <v>0</v>
      </c>
      <c r="D103" t="n">
        <v>0</v>
      </c>
      <c r="E103" t="n">
        <v>35.29038396266813</v>
      </c>
    </row>
    <row r="104">
      <c r="A104" t="inlineStr">
        <is>
          <t>CL000103</t>
        </is>
      </c>
      <c r="B104" t="inlineStr">
        <is>
          <t>not_invited</t>
        </is>
      </c>
    </row>
    <row r="105">
      <c r="A105" t="inlineStr">
        <is>
          <t>CL000104</t>
        </is>
      </c>
      <c r="B105" t="inlineStr">
        <is>
          <t>not_invited</t>
        </is>
      </c>
    </row>
    <row r="106">
      <c r="A106" t="inlineStr">
        <is>
          <t>CL000105</t>
        </is>
      </c>
      <c r="B106" t="inlineStr">
        <is>
          <t>nonresponse</t>
        </is>
      </c>
    </row>
    <row r="107">
      <c r="A107" t="inlineStr">
        <is>
          <t>CL000106</t>
        </is>
      </c>
      <c r="B107" t="inlineStr">
        <is>
          <t>not_invited</t>
        </is>
      </c>
    </row>
    <row r="108">
      <c r="A108" t="inlineStr">
        <is>
          <t>CL000107</t>
        </is>
      </c>
      <c r="B108" t="inlineStr">
        <is>
          <t>not_invited</t>
        </is>
      </c>
    </row>
    <row r="109">
      <c r="A109" t="inlineStr">
        <is>
          <t>CL000108</t>
        </is>
      </c>
      <c r="B109" t="inlineStr">
        <is>
          <t>not_invited</t>
        </is>
      </c>
    </row>
    <row r="110">
      <c r="A110" t="inlineStr">
        <is>
          <t>CL000109</t>
        </is>
      </c>
      <c r="B110" t="inlineStr">
        <is>
          <t>not_invited</t>
        </is>
      </c>
    </row>
    <row r="111">
      <c r="A111" t="inlineStr">
        <is>
          <t>CL000110</t>
        </is>
      </c>
      <c r="B111" t="inlineStr">
        <is>
          <t>not_invited</t>
        </is>
      </c>
    </row>
    <row r="112">
      <c r="A112" t="inlineStr">
        <is>
          <t>CL000111</t>
        </is>
      </c>
      <c r="B112" t="inlineStr">
        <is>
          <t>not_invited</t>
        </is>
      </c>
    </row>
    <row r="113">
      <c r="A113" t="inlineStr">
        <is>
          <t>CL000112</t>
        </is>
      </c>
      <c r="B113" t="inlineStr">
        <is>
          <t>not_invited</t>
        </is>
      </c>
    </row>
    <row r="114">
      <c r="A114" t="inlineStr">
        <is>
          <t>CL000113</t>
        </is>
      </c>
      <c r="B114" t="inlineStr">
        <is>
          <t>not_invited</t>
        </is>
      </c>
    </row>
    <row r="115">
      <c r="A115" t="inlineStr">
        <is>
          <t>CL000114</t>
        </is>
      </c>
      <c r="B115" t="inlineStr">
        <is>
          <t>responded</t>
        </is>
      </c>
      <c r="C115" t="n">
        <v>0</v>
      </c>
      <c r="D115" t="n">
        <v>0</v>
      </c>
      <c r="E115" t="n">
        <v>35.29038396266813</v>
      </c>
    </row>
    <row r="116">
      <c r="A116" t="inlineStr">
        <is>
          <t>CL000115</t>
        </is>
      </c>
      <c r="B116" t="inlineStr">
        <is>
          <t>not_invited</t>
        </is>
      </c>
    </row>
    <row r="117">
      <c r="A117" t="inlineStr">
        <is>
          <t>CL000116</t>
        </is>
      </c>
      <c r="B117" t="inlineStr">
        <is>
          <t>not_invited</t>
        </is>
      </c>
    </row>
    <row r="118">
      <c r="A118" t="inlineStr">
        <is>
          <t>CL000117</t>
        </is>
      </c>
      <c r="B118" t="inlineStr">
        <is>
          <t>not_invited</t>
        </is>
      </c>
    </row>
    <row r="119">
      <c r="A119" t="inlineStr">
        <is>
          <t>CL000118</t>
        </is>
      </c>
      <c r="B119" t="inlineStr">
        <is>
          <t>not_invited</t>
        </is>
      </c>
    </row>
    <row r="120">
      <c r="A120" t="inlineStr">
        <is>
          <t>CL000119</t>
        </is>
      </c>
      <c r="B120" t="inlineStr">
        <is>
          <t>not_invited</t>
        </is>
      </c>
    </row>
    <row r="121">
      <c r="A121" t="inlineStr">
        <is>
          <t>CL000120</t>
        </is>
      </c>
      <c r="B121" t="inlineStr">
        <is>
          <t>not_invited</t>
        </is>
      </c>
    </row>
    <row r="122">
      <c r="A122" t="inlineStr">
        <is>
          <t>CL000121</t>
        </is>
      </c>
      <c r="B122" t="inlineStr">
        <is>
          <t>not_invited</t>
        </is>
      </c>
    </row>
    <row r="123">
      <c r="A123" t="inlineStr">
        <is>
          <t>CL000122</t>
        </is>
      </c>
      <c r="B123" t="inlineStr">
        <is>
          <t>not_invited</t>
        </is>
      </c>
    </row>
    <row r="124">
      <c r="A124" t="inlineStr">
        <is>
          <t>CL000123</t>
        </is>
      </c>
      <c r="B124" t="inlineStr">
        <is>
          <t>not_invited</t>
        </is>
      </c>
    </row>
    <row r="125">
      <c r="A125" t="inlineStr">
        <is>
          <t>CL000124</t>
        </is>
      </c>
      <c r="B125" t="inlineStr">
        <is>
          <t>not_invited</t>
        </is>
      </c>
    </row>
    <row r="126">
      <c r="A126" t="inlineStr">
        <is>
          <t>CL000125</t>
        </is>
      </c>
      <c r="B126" t="inlineStr">
        <is>
          <t>not_invited</t>
        </is>
      </c>
    </row>
    <row r="127">
      <c r="A127" t="inlineStr">
        <is>
          <t>CL000126</t>
        </is>
      </c>
      <c r="B127" t="inlineStr">
        <is>
          <t>not_invited</t>
        </is>
      </c>
    </row>
    <row r="128">
      <c r="A128" t="inlineStr">
        <is>
          <t>CL000127</t>
        </is>
      </c>
      <c r="B128" t="inlineStr">
        <is>
          <t>not_invited</t>
        </is>
      </c>
    </row>
    <row r="129">
      <c r="A129" t="inlineStr">
        <is>
          <t>CL000128</t>
        </is>
      </c>
      <c r="B129" t="inlineStr">
        <is>
          <t>not_invited</t>
        </is>
      </c>
    </row>
    <row r="130">
      <c r="A130" t="inlineStr">
        <is>
          <t>CL000129</t>
        </is>
      </c>
      <c r="B130" t="inlineStr">
        <is>
          <t>not_invited</t>
        </is>
      </c>
    </row>
    <row r="131">
      <c r="A131" t="inlineStr">
        <is>
          <t>CL000130</t>
        </is>
      </c>
      <c r="B131" t="inlineStr">
        <is>
          <t>not_invited</t>
        </is>
      </c>
    </row>
    <row r="132">
      <c r="A132" t="inlineStr">
        <is>
          <t>CL000131</t>
        </is>
      </c>
      <c r="B132" t="inlineStr">
        <is>
          <t>not_invited</t>
        </is>
      </c>
    </row>
    <row r="133">
      <c r="A133" t="inlineStr">
        <is>
          <t>CL000132</t>
        </is>
      </c>
      <c r="B133" t="inlineStr">
        <is>
          <t>not_invited</t>
        </is>
      </c>
    </row>
    <row r="134">
      <c r="A134" t="inlineStr">
        <is>
          <t>CL000133</t>
        </is>
      </c>
      <c r="B134" t="inlineStr">
        <is>
          <t>not_invited</t>
        </is>
      </c>
    </row>
    <row r="135">
      <c r="A135" t="inlineStr">
        <is>
          <t>CL000134</t>
        </is>
      </c>
      <c r="B135" t="inlineStr">
        <is>
          <t>responded</t>
        </is>
      </c>
      <c r="C135" t="n">
        <v>0</v>
      </c>
      <c r="D135" t="n">
        <v>0</v>
      </c>
      <c r="E135" t="n">
        <v>35.29038396266813</v>
      </c>
    </row>
    <row r="136">
      <c r="A136" t="inlineStr">
        <is>
          <t>CL000135</t>
        </is>
      </c>
      <c r="B136" t="inlineStr">
        <is>
          <t>responded</t>
        </is>
      </c>
      <c r="C136" t="n">
        <v>1</v>
      </c>
      <c r="D136" t="n">
        <v>1</v>
      </c>
      <c r="E136" t="n">
        <v>63.24711745155093</v>
      </c>
    </row>
    <row r="137">
      <c r="A137" t="inlineStr">
        <is>
          <t>CL000136</t>
        </is>
      </c>
      <c r="B137" t="inlineStr">
        <is>
          <t>not_invited</t>
        </is>
      </c>
    </row>
    <row r="138">
      <c r="A138" t="inlineStr">
        <is>
          <t>CL000137</t>
        </is>
      </c>
      <c r="B138" t="inlineStr">
        <is>
          <t>not_invited</t>
        </is>
      </c>
    </row>
    <row r="139">
      <c r="A139" t="inlineStr">
        <is>
          <t>CL000138</t>
        </is>
      </c>
      <c r="B139" t="inlineStr">
        <is>
          <t>not_invited</t>
        </is>
      </c>
    </row>
    <row r="140">
      <c r="A140" t="inlineStr">
        <is>
          <t>CL000139</t>
        </is>
      </c>
      <c r="B140" t="inlineStr">
        <is>
          <t>not_invited</t>
        </is>
      </c>
    </row>
    <row r="141">
      <c r="A141" t="inlineStr">
        <is>
          <t>CL000140</t>
        </is>
      </c>
      <c r="B141" t="inlineStr">
        <is>
          <t>not_invited</t>
        </is>
      </c>
    </row>
    <row r="142">
      <c r="A142" t="inlineStr">
        <is>
          <t>CL000141</t>
        </is>
      </c>
      <c r="B142" t="inlineStr">
        <is>
          <t>not_invited</t>
        </is>
      </c>
    </row>
    <row r="143">
      <c r="A143" t="inlineStr">
        <is>
          <t>CL000142</t>
        </is>
      </c>
      <c r="B143" t="inlineStr">
        <is>
          <t>not_invited</t>
        </is>
      </c>
    </row>
    <row r="144">
      <c r="A144" t="inlineStr">
        <is>
          <t>CL000143</t>
        </is>
      </c>
      <c r="B144" t="inlineStr">
        <is>
          <t>not_invited</t>
        </is>
      </c>
    </row>
    <row r="145">
      <c r="A145" t="inlineStr">
        <is>
          <t>CL000144</t>
        </is>
      </c>
      <c r="B145" t="inlineStr">
        <is>
          <t>not_invited</t>
        </is>
      </c>
    </row>
    <row r="146">
      <c r="A146" t="inlineStr">
        <is>
          <t>CL000145</t>
        </is>
      </c>
      <c r="B146" t="inlineStr">
        <is>
          <t>not_invited</t>
        </is>
      </c>
    </row>
    <row r="147">
      <c r="A147" t="inlineStr">
        <is>
          <t>CL000146</t>
        </is>
      </c>
      <c r="B147" t="inlineStr">
        <is>
          <t>not_invited</t>
        </is>
      </c>
    </row>
    <row r="148">
      <c r="A148" t="inlineStr">
        <is>
          <t>CL000147</t>
        </is>
      </c>
      <c r="B148" t="inlineStr">
        <is>
          <t>not_invited</t>
        </is>
      </c>
    </row>
    <row r="149">
      <c r="A149" t="inlineStr">
        <is>
          <t>CL000148</t>
        </is>
      </c>
      <c r="B149" t="inlineStr">
        <is>
          <t>not_invited</t>
        </is>
      </c>
    </row>
    <row r="150">
      <c r="A150" t="inlineStr">
        <is>
          <t>CL000149</t>
        </is>
      </c>
      <c r="B150" t="inlineStr">
        <is>
          <t>not_invited</t>
        </is>
      </c>
    </row>
    <row r="151">
      <c r="A151" t="inlineStr">
        <is>
          <t>CL000150</t>
        </is>
      </c>
      <c r="B151" t="inlineStr">
        <is>
          <t>not_invited</t>
        </is>
      </c>
    </row>
    <row r="152">
      <c r="A152" t="inlineStr">
        <is>
          <t>CL000151</t>
        </is>
      </c>
      <c r="B152" t="inlineStr">
        <is>
          <t>not_invited</t>
        </is>
      </c>
    </row>
    <row r="153">
      <c r="A153" t="inlineStr">
        <is>
          <t>CL000152</t>
        </is>
      </c>
      <c r="B153" t="inlineStr">
        <is>
          <t>not_invited</t>
        </is>
      </c>
    </row>
    <row r="154">
      <c r="A154" t="inlineStr">
        <is>
          <t>CL000153</t>
        </is>
      </c>
      <c r="B154" t="inlineStr">
        <is>
          <t>not_invited</t>
        </is>
      </c>
    </row>
    <row r="155">
      <c r="A155" t="inlineStr">
        <is>
          <t>CL000154</t>
        </is>
      </c>
      <c r="B155" t="inlineStr">
        <is>
          <t>not_invited</t>
        </is>
      </c>
    </row>
    <row r="156">
      <c r="A156" t="inlineStr">
        <is>
          <t>CL000155</t>
        </is>
      </c>
      <c r="B156" t="inlineStr">
        <is>
          <t>not_invited</t>
        </is>
      </c>
    </row>
    <row r="157">
      <c r="A157" t="inlineStr">
        <is>
          <t>CL000156</t>
        </is>
      </c>
      <c r="B157" t="inlineStr">
        <is>
          <t>not_invited</t>
        </is>
      </c>
    </row>
    <row r="158">
      <c r="A158" t="inlineStr">
        <is>
          <t>CL000157</t>
        </is>
      </c>
      <c r="B158" t="inlineStr">
        <is>
          <t>not_invited</t>
        </is>
      </c>
    </row>
    <row r="159">
      <c r="A159" t="inlineStr">
        <is>
          <t>CL000158</t>
        </is>
      </c>
      <c r="B159" t="inlineStr">
        <is>
          <t>not_invited</t>
        </is>
      </c>
    </row>
    <row r="160">
      <c r="A160" t="inlineStr">
        <is>
          <t>CL000159</t>
        </is>
      </c>
      <c r="B160" t="inlineStr">
        <is>
          <t>not_invited</t>
        </is>
      </c>
    </row>
    <row r="161">
      <c r="A161" t="inlineStr">
        <is>
          <t>CL000160</t>
        </is>
      </c>
      <c r="B161" t="inlineStr">
        <is>
          <t>not_invited</t>
        </is>
      </c>
    </row>
    <row r="162">
      <c r="A162" t="inlineStr">
        <is>
          <t>CL000161</t>
        </is>
      </c>
      <c r="B162" t="inlineStr">
        <is>
          <t>not_invited</t>
        </is>
      </c>
    </row>
    <row r="163">
      <c r="A163" t="inlineStr">
        <is>
          <t>CL000162</t>
        </is>
      </c>
      <c r="B163" t="inlineStr">
        <is>
          <t>not_invited</t>
        </is>
      </c>
    </row>
    <row r="164">
      <c r="A164" t="inlineStr">
        <is>
          <t>CL000163</t>
        </is>
      </c>
      <c r="B164" t="inlineStr">
        <is>
          <t>not_invited</t>
        </is>
      </c>
    </row>
    <row r="165">
      <c r="A165" t="inlineStr">
        <is>
          <t>CL000164</t>
        </is>
      </c>
      <c r="B165" t="inlineStr">
        <is>
          <t>not_invited</t>
        </is>
      </c>
    </row>
    <row r="166">
      <c r="A166" t="inlineStr">
        <is>
          <t>CL000165</t>
        </is>
      </c>
      <c r="B166" t="inlineStr">
        <is>
          <t>not_invited</t>
        </is>
      </c>
    </row>
    <row r="167">
      <c r="A167" t="inlineStr">
        <is>
          <t>CL000166</t>
        </is>
      </c>
      <c r="B167" t="inlineStr">
        <is>
          <t>not_invited</t>
        </is>
      </c>
    </row>
    <row r="168">
      <c r="A168" t="inlineStr">
        <is>
          <t>CL000167</t>
        </is>
      </c>
      <c r="B168" t="inlineStr">
        <is>
          <t>not_invited</t>
        </is>
      </c>
    </row>
    <row r="169">
      <c r="A169" t="inlineStr">
        <is>
          <t>CL000168</t>
        </is>
      </c>
      <c r="B169" t="inlineStr">
        <is>
          <t>responded</t>
        </is>
      </c>
      <c r="C169" t="n">
        <v>1</v>
      </c>
      <c r="D169" t="n">
        <v>1</v>
      </c>
      <c r="E169" t="n">
        <v>63.24711745155093</v>
      </c>
    </row>
    <row r="170">
      <c r="A170" t="inlineStr">
        <is>
          <t>CL000169</t>
        </is>
      </c>
      <c r="B170" t="inlineStr">
        <is>
          <t>not_invited</t>
        </is>
      </c>
    </row>
    <row r="171">
      <c r="A171" t="inlineStr">
        <is>
          <t>CL000170</t>
        </is>
      </c>
      <c r="B171" t="inlineStr">
        <is>
          <t>not_invited</t>
        </is>
      </c>
    </row>
    <row r="172">
      <c r="A172" t="inlineStr">
        <is>
          <t>CL000171</t>
        </is>
      </c>
      <c r="B172" t="inlineStr">
        <is>
          <t>not_invited</t>
        </is>
      </c>
    </row>
    <row r="173">
      <c r="A173" t="inlineStr">
        <is>
          <t>CL000172</t>
        </is>
      </c>
      <c r="B173" t="inlineStr">
        <is>
          <t>not_invited</t>
        </is>
      </c>
    </row>
    <row r="174">
      <c r="A174" t="inlineStr">
        <is>
          <t>CL000173</t>
        </is>
      </c>
      <c r="B174" t="inlineStr">
        <is>
          <t>not_invited</t>
        </is>
      </c>
    </row>
    <row r="175">
      <c r="A175" t="inlineStr">
        <is>
          <t>CL000174</t>
        </is>
      </c>
      <c r="B175" t="inlineStr">
        <is>
          <t>not_invited</t>
        </is>
      </c>
    </row>
    <row r="176">
      <c r="A176" t="inlineStr">
        <is>
          <t>CL000175</t>
        </is>
      </c>
      <c r="B176" t="inlineStr">
        <is>
          <t>not_invited</t>
        </is>
      </c>
    </row>
    <row r="177">
      <c r="A177" t="inlineStr">
        <is>
          <t>CL000176</t>
        </is>
      </c>
      <c r="B177" t="inlineStr">
        <is>
          <t>not_invited</t>
        </is>
      </c>
    </row>
    <row r="178">
      <c r="A178" t="inlineStr">
        <is>
          <t>CL000177</t>
        </is>
      </c>
      <c r="B178" t="inlineStr">
        <is>
          <t>not_invited</t>
        </is>
      </c>
    </row>
    <row r="179">
      <c r="A179" t="inlineStr">
        <is>
          <t>CL000178</t>
        </is>
      </c>
      <c r="B179" t="inlineStr">
        <is>
          <t>not_invited</t>
        </is>
      </c>
    </row>
    <row r="180">
      <c r="A180" t="inlineStr">
        <is>
          <t>CL000179</t>
        </is>
      </c>
      <c r="B180" t="inlineStr">
        <is>
          <t>not_invited</t>
        </is>
      </c>
    </row>
    <row r="181">
      <c r="A181" t="inlineStr">
        <is>
          <t>CL000180</t>
        </is>
      </c>
      <c r="B181" t="inlineStr">
        <is>
          <t>not_invited</t>
        </is>
      </c>
    </row>
    <row r="182">
      <c r="A182" t="inlineStr">
        <is>
          <t>CL000181</t>
        </is>
      </c>
      <c r="B182" t="inlineStr">
        <is>
          <t>not_invited</t>
        </is>
      </c>
    </row>
    <row r="183">
      <c r="A183" t="inlineStr">
        <is>
          <t>CL000182</t>
        </is>
      </c>
      <c r="B183" t="inlineStr">
        <is>
          <t>not_invited</t>
        </is>
      </c>
    </row>
    <row r="184">
      <c r="A184" t="inlineStr">
        <is>
          <t>CL000183</t>
        </is>
      </c>
      <c r="B184" t="inlineStr">
        <is>
          <t>not_invited</t>
        </is>
      </c>
    </row>
    <row r="185">
      <c r="A185" t="inlineStr">
        <is>
          <t>CL000184</t>
        </is>
      </c>
      <c r="B185" t="inlineStr">
        <is>
          <t>not_invited</t>
        </is>
      </c>
    </row>
    <row r="186">
      <c r="A186" t="inlineStr">
        <is>
          <t>CL000185</t>
        </is>
      </c>
      <c r="B186" t="inlineStr">
        <is>
          <t>responded</t>
        </is>
      </c>
      <c r="C186" t="n">
        <v>0</v>
      </c>
      <c r="D186" t="n">
        <v>0</v>
      </c>
      <c r="E186" t="n">
        <v>35.29038396266813</v>
      </c>
    </row>
    <row r="187">
      <c r="A187" t="inlineStr">
        <is>
          <t>CL000186</t>
        </is>
      </c>
      <c r="B187" t="inlineStr">
        <is>
          <t>responded</t>
        </is>
      </c>
      <c r="C187" t="n">
        <v>0</v>
      </c>
      <c r="D187" t="n">
        <v>0</v>
      </c>
      <c r="E187" t="n">
        <v>35.29038396266813</v>
      </c>
    </row>
    <row r="188">
      <c r="A188" t="inlineStr">
        <is>
          <t>CL000187</t>
        </is>
      </c>
      <c r="B188" t="inlineStr">
        <is>
          <t>not_invited</t>
        </is>
      </c>
    </row>
    <row r="189">
      <c r="A189" t="inlineStr">
        <is>
          <t>CL000188</t>
        </is>
      </c>
      <c r="B189" t="inlineStr">
        <is>
          <t>not_invited</t>
        </is>
      </c>
    </row>
    <row r="190">
      <c r="A190" t="inlineStr">
        <is>
          <t>CL000189</t>
        </is>
      </c>
      <c r="B190" t="inlineStr">
        <is>
          <t>not_invited</t>
        </is>
      </c>
    </row>
    <row r="191">
      <c r="A191" t="inlineStr">
        <is>
          <t>CL000190</t>
        </is>
      </c>
      <c r="B191" t="inlineStr">
        <is>
          <t>not_invited</t>
        </is>
      </c>
    </row>
    <row r="192">
      <c r="A192" t="inlineStr">
        <is>
          <t>CL000191</t>
        </is>
      </c>
      <c r="B192" t="inlineStr">
        <is>
          <t>not_invited</t>
        </is>
      </c>
    </row>
    <row r="193">
      <c r="A193" t="inlineStr">
        <is>
          <t>CL000192</t>
        </is>
      </c>
      <c r="B193" t="inlineStr">
        <is>
          <t>not_invited</t>
        </is>
      </c>
    </row>
    <row r="194">
      <c r="A194" t="inlineStr">
        <is>
          <t>CL000193</t>
        </is>
      </c>
      <c r="B194" t="inlineStr">
        <is>
          <t>not_invited</t>
        </is>
      </c>
    </row>
    <row r="195">
      <c r="A195" t="inlineStr">
        <is>
          <t>CL000194</t>
        </is>
      </c>
      <c r="B195" t="inlineStr">
        <is>
          <t>not_invited</t>
        </is>
      </c>
    </row>
    <row r="196">
      <c r="A196" t="inlineStr">
        <is>
          <t>CL000195</t>
        </is>
      </c>
      <c r="B196" t="inlineStr">
        <is>
          <t>not_invited</t>
        </is>
      </c>
    </row>
    <row r="197">
      <c r="A197" t="inlineStr">
        <is>
          <t>CL000196</t>
        </is>
      </c>
      <c r="B197" t="inlineStr">
        <is>
          <t>not_invited</t>
        </is>
      </c>
    </row>
    <row r="198">
      <c r="A198" t="inlineStr">
        <is>
          <t>CL000197</t>
        </is>
      </c>
      <c r="B198" t="inlineStr">
        <is>
          <t>not_invited</t>
        </is>
      </c>
    </row>
    <row r="199">
      <c r="A199" t="inlineStr">
        <is>
          <t>CL000198</t>
        </is>
      </c>
      <c r="B199" t="inlineStr">
        <is>
          <t>not_invited</t>
        </is>
      </c>
    </row>
    <row r="200">
      <c r="A200" t="inlineStr">
        <is>
          <t>CL000199</t>
        </is>
      </c>
      <c r="B200" t="inlineStr">
        <is>
          <t>not_invited</t>
        </is>
      </c>
    </row>
    <row r="201">
      <c r="A201" t="inlineStr">
        <is>
          <t>CL000200</t>
        </is>
      </c>
      <c r="B201" t="inlineStr">
        <is>
          <t>not_invited</t>
        </is>
      </c>
    </row>
    <row r="202">
      <c r="A202" t="inlineStr">
        <is>
          <t>CL000201</t>
        </is>
      </c>
      <c r="B202" t="inlineStr">
        <is>
          <t>not_invited</t>
        </is>
      </c>
    </row>
    <row r="203">
      <c r="A203" t="inlineStr">
        <is>
          <t>CL000202</t>
        </is>
      </c>
      <c r="B203" t="inlineStr">
        <is>
          <t>not_invited</t>
        </is>
      </c>
    </row>
    <row r="204">
      <c r="A204" t="inlineStr">
        <is>
          <t>CL000203</t>
        </is>
      </c>
      <c r="B204" t="inlineStr">
        <is>
          <t>not_invited</t>
        </is>
      </c>
    </row>
    <row r="205">
      <c r="A205" t="inlineStr">
        <is>
          <t>CL000204</t>
        </is>
      </c>
      <c r="B205" t="inlineStr">
        <is>
          <t>not_invited</t>
        </is>
      </c>
    </row>
    <row r="206">
      <c r="A206" t="inlineStr">
        <is>
          <t>CL000205</t>
        </is>
      </c>
      <c r="B206" t="inlineStr">
        <is>
          <t>not_invited</t>
        </is>
      </c>
    </row>
    <row r="207">
      <c r="A207" t="inlineStr">
        <is>
          <t>CL000206</t>
        </is>
      </c>
      <c r="B207" t="inlineStr">
        <is>
          <t>not_invited</t>
        </is>
      </c>
    </row>
    <row r="208">
      <c r="A208" t="inlineStr">
        <is>
          <t>CL000207</t>
        </is>
      </c>
      <c r="B208" t="inlineStr">
        <is>
          <t>not_invited</t>
        </is>
      </c>
    </row>
    <row r="209">
      <c r="A209" t="inlineStr">
        <is>
          <t>CL000208</t>
        </is>
      </c>
      <c r="B209" t="inlineStr">
        <is>
          <t>not_invited</t>
        </is>
      </c>
    </row>
    <row r="210">
      <c r="A210" t="inlineStr">
        <is>
          <t>CL000209</t>
        </is>
      </c>
      <c r="B210" t="inlineStr">
        <is>
          <t>not_invited</t>
        </is>
      </c>
    </row>
    <row r="211">
      <c r="A211" t="inlineStr">
        <is>
          <t>CL000210</t>
        </is>
      </c>
      <c r="B211" t="inlineStr">
        <is>
          <t>not_invited</t>
        </is>
      </c>
    </row>
    <row r="212">
      <c r="A212" t="inlineStr">
        <is>
          <t>CL000211</t>
        </is>
      </c>
      <c r="B212" t="inlineStr">
        <is>
          <t>not_invited</t>
        </is>
      </c>
    </row>
    <row r="213">
      <c r="A213" t="inlineStr">
        <is>
          <t>CL000212</t>
        </is>
      </c>
      <c r="B213" t="inlineStr">
        <is>
          <t>not_invited</t>
        </is>
      </c>
    </row>
    <row r="214">
      <c r="A214" t="inlineStr">
        <is>
          <t>CL000213</t>
        </is>
      </c>
      <c r="B214" t="inlineStr">
        <is>
          <t>not_invited</t>
        </is>
      </c>
    </row>
    <row r="215">
      <c r="A215" t="inlineStr">
        <is>
          <t>CL000214</t>
        </is>
      </c>
      <c r="B215" t="inlineStr">
        <is>
          <t>not_invited</t>
        </is>
      </c>
    </row>
    <row r="216">
      <c r="A216" t="inlineStr">
        <is>
          <t>CL000215</t>
        </is>
      </c>
      <c r="B216" t="inlineStr">
        <is>
          <t>not_invited</t>
        </is>
      </c>
    </row>
    <row r="217">
      <c r="A217" t="inlineStr">
        <is>
          <t>CL000216</t>
        </is>
      </c>
      <c r="B217" t="inlineStr">
        <is>
          <t>not_invited</t>
        </is>
      </c>
    </row>
    <row r="218">
      <c r="A218" t="inlineStr">
        <is>
          <t>CL000217</t>
        </is>
      </c>
      <c r="B218" t="inlineStr">
        <is>
          <t>not_invited</t>
        </is>
      </c>
    </row>
    <row r="219">
      <c r="A219" t="inlineStr">
        <is>
          <t>CL000218</t>
        </is>
      </c>
      <c r="B219" t="inlineStr">
        <is>
          <t>not_invited</t>
        </is>
      </c>
    </row>
    <row r="220">
      <c r="A220" t="inlineStr">
        <is>
          <t>CL000219</t>
        </is>
      </c>
      <c r="B220" t="inlineStr">
        <is>
          <t>not_invited</t>
        </is>
      </c>
    </row>
    <row r="221">
      <c r="A221" t="inlineStr">
        <is>
          <t>CL000220</t>
        </is>
      </c>
      <c r="B221" t="inlineStr">
        <is>
          <t>not_invited</t>
        </is>
      </c>
    </row>
    <row r="222">
      <c r="A222" t="inlineStr">
        <is>
          <t>CL000221</t>
        </is>
      </c>
      <c r="B222" t="inlineStr">
        <is>
          <t>responded</t>
        </is>
      </c>
      <c r="C222" t="n">
        <v>0</v>
      </c>
      <c r="D222" t="n">
        <v>0</v>
      </c>
      <c r="E222" t="n">
        <v>35.29038396266813</v>
      </c>
    </row>
    <row r="223">
      <c r="A223" t="inlineStr">
        <is>
          <t>CL000222</t>
        </is>
      </c>
      <c r="B223" t="inlineStr">
        <is>
          <t>not_invited</t>
        </is>
      </c>
    </row>
    <row r="224">
      <c r="A224" t="inlineStr">
        <is>
          <t>CL000223</t>
        </is>
      </c>
      <c r="B224" t="inlineStr">
        <is>
          <t>not_invited</t>
        </is>
      </c>
    </row>
    <row r="225">
      <c r="A225" t="inlineStr">
        <is>
          <t>CL000224</t>
        </is>
      </c>
      <c r="B225" t="inlineStr">
        <is>
          <t>not_invited</t>
        </is>
      </c>
    </row>
    <row r="226">
      <c r="A226" t="inlineStr">
        <is>
          <t>CL000225</t>
        </is>
      </c>
      <c r="B226" t="inlineStr">
        <is>
          <t>not_invited</t>
        </is>
      </c>
    </row>
    <row r="227">
      <c r="A227" t="inlineStr">
        <is>
          <t>CL000226</t>
        </is>
      </c>
      <c r="B227" t="inlineStr">
        <is>
          <t>not_invited</t>
        </is>
      </c>
    </row>
    <row r="228">
      <c r="A228" t="inlineStr">
        <is>
          <t>CL000227</t>
        </is>
      </c>
      <c r="B228" t="inlineStr">
        <is>
          <t>not_invited</t>
        </is>
      </c>
    </row>
    <row r="229">
      <c r="A229" t="inlineStr">
        <is>
          <t>CL000228</t>
        </is>
      </c>
      <c r="B229" t="inlineStr">
        <is>
          <t>not_invited</t>
        </is>
      </c>
    </row>
    <row r="230">
      <c r="A230" t="inlineStr">
        <is>
          <t>CL000229</t>
        </is>
      </c>
      <c r="B230" t="inlineStr">
        <is>
          <t>not_invited</t>
        </is>
      </c>
    </row>
    <row r="231">
      <c r="A231" t="inlineStr">
        <is>
          <t>CL000230</t>
        </is>
      </c>
      <c r="B231" t="inlineStr">
        <is>
          <t>not_invited</t>
        </is>
      </c>
    </row>
    <row r="232">
      <c r="A232" t="inlineStr">
        <is>
          <t>CL000231</t>
        </is>
      </c>
      <c r="B232" t="inlineStr">
        <is>
          <t>not_invited</t>
        </is>
      </c>
    </row>
    <row r="233">
      <c r="A233" t="inlineStr">
        <is>
          <t>CL000232</t>
        </is>
      </c>
      <c r="B233" t="inlineStr">
        <is>
          <t>not_invited</t>
        </is>
      </c>
    </row>
    <row r="234">
      <c r="A234" t="inlineStr">
        <is>
          <t>CL000233</t>
        </is>
      </c>
      <c r="B234" t="inlineStr">
        <is>
          <t>not_invited</t>
        </is>
      </c>
    </row>
    <row r="235">
      <c r="A235" t="inlineStr">
        <is>
          <t>CL000234</t>
        </is>
      </c>
      <c r="B235" t="inlineStr">
        <is>
          <t>not_invited</t>
        </is>
      </c>
    </row>
    <row r="236">
      <c r="A236" t="inlineStr">
        <is>
          <t>CL000235</t>
        </is>
      </c>
      <c r="B236" t="inlineStr">
        <is>
          <t>not_invited</t>
        </is>
      </c>
    </row>
    <row r="237">
      <c r="A237" t="inlineStr">
        <is>
          <t>CL000236</t>
        </is>
      </c>
      <c r="B237" t="inlineStr">
        <is>
          <t>not_invited</t>
        </is>
      </c>
    </row>
    <row r="238">
      <c r="A238" t="inlineStr">
        <is>
          <t>CL000237</t>
        </is>
      </c>
      <c r="B238" t="inlineStr">
        <is>
          <t>not_invited</t>
        </is>
      </c>
    </row>
    <row r="239">
      <c r="A239" t="inlineStr">
        <is>
          <t>CL000238</t>
        </is>
      </c>
      <c r="B239" t="inlineStr">
        <is>
          <t>not_invited</t>
        </is>
      </c>
    </row>
    <row r="240">
      <c r="A240" t="inlineStr">
        <is>
          <t>CL000239</t>
        </is>
      </c>
      <c r="B240" t="inlineStr">
        <is>
          <t>not_invited</t>
        </is>
      </c>
    </row>
    <row r="241">
      <c r="A241" t="inlineStr">
        <is>
          <t>CL000240</t>
        </is>
      </c>
      <c r="B241" t="inlineStr">
        <is>
          <t>not_invited</t>
        </is>
      </c>
    </row>
    <row r="242">
      <c r="A242" t="inlineStr">
        <is>
          <t>CL000241</t>
        </is>
      </c>
      <c r="B242" t="inlineStr">
        <is>
          <t>not_invited</t>
        </is>
      </c>
    </row>
    <row r="243">
      <c r="A243" t="inlineStr">
        <is>
          <t>CL000242</t>
        </is>
      </c>
      <c r="B243" t="inlineStr">
        <is>
          <t>not_invited</t>
        </is>
      </c>
    </row>
    <row r="244">
      <c r="A244" t="inlineStr">
        <is>
          <t>CL000243</t>
        </is>
      </c>
      <c r="B244" t="inlineStr">
        <is>
          <t>not_invited</t>
        </is>
      </c>
    </row>
    <row r="245">
      <c r="A245" t="inlineStr">
        <is>
          <t>CL000244</t>
        </is>
      </c>
      <c r="B245" t="inlineStr">
        <is>
          <t>not_invited</t>
        </is>
      </c>
    </row>
    <row r="246">
      <c r="A246" t="inlineStr">
        <is>
          <t>CL000245</t>
        </is>
      </c>
      <c r="B246" t="inlineStr">
        <is>
          <t>not_invited</t>
        </is>
      </c>
    </row>
    <row r="247">
      <c r="A247" t="inlineStr">
        <is>
          <t>CL000246</t>
        </is>
      </c>
      <c r="B247" t="inlineStr">
        <is>
          <t>not_invited</t>
        </is>
      </c>
    </row>
    <row r="248">
      <c r="A248" t="inlineStr">
        <is>
          <t>CL000247</t>
        </is>
      </c>
      <c r="B248" t="inlineStr">
        <is>
          <t>not_invited</t>
        </is>
      </c>
    </row>
    <row r="249">
      <c r="A249" t="inlineStr">
        <is>
          <t>CL000248</t>
        </is>
      </c>
      <c r="B249" t="inlineStr">
        <is>
          <t>not_invited</t>
        </is>
      </c>
    </row>
    <row r="250">
      <c r="A250" t="inlineStr">
        <is>
          <t>CL000249</t>
        </is>
      </c>
      <c r="B250" t="inlineStr">
        <is>
          <t>not_invited</t>
        </is>
      </c>
    </row>
    <row r="251">
      <c r="A251" t="inlineStr">
        <is>
          <t>CL000250</t>
        </is>
      </c>
      <c r="B251" t="inlineStr">
        <is>
          <t>not_invited</t>
        </is>
      </c>
    </row>
    <row r="252">
      <c r="A252" t="inlineStr">
        <is>
          <t>CL000251</t>
        </is>
      </c>
      <c r="B252" t="inlineStr">
        <is>
          <t>not_invited</t>
        </is>
      </c>
    </row>
    <row r="253">
      <c r="A253" t="inlineStr">
        <is>
          <t>CL000252</t>
        </is>
      </c>
      <c r="B253" t="inlineStr">
        <is>
          <t>not_invited</t>
        </is>
      </c>
    </row>
    <row r="254">
      <c r="A254" t="inlineStr">
        <is>
          <t>CL000253</t>
        </is>
      </c>
      <c r="B254" t="inlineStr">
        <is>
          <t>not_invited</t>
        </is>
      </c>
    </row>
    <row r="255">
      <c r="A255" t="inlineStr">
        <is>
          <t>CL000254</t>
        </is>
      </c>
      <c r="B255" t="inlineStr">
        <is>
          <t>not_invited</t>
        </is>
      </c>
    </row>
    <row r="256">
      <c r="A256" t="inlineStr">
        <is>
          <t>CL000255</t>
        </is>
      </c>
      <c r="B256" t="inlineStr">
        <is>
          <t>not_invited</t>
        </is>
      </c>
    </row>
    <row r="257">
      <c r="A257" t="inlineStr">
        <is>
          <t>CL000256</t>
        </is>
      </c>
      <c r="B257" t="inlineStr">
        <is>
          <t>not_invited</t>
        </is>
      </c>
    </row>
    <row r="258">
      <c r="A258" t="inlineStr">
        <is>
          <t>CL000257</t>
        </is>
      </c>
      <c r="B258" t="inlineStr">
        <is>
          <t>not_invited</t>
        </is>
      </c>
    </row>
    <row r="259">
      <c r="A259" t="inlineStr">
        <is>
          <t>CL000258</t>
        </is>
      </c>
      <c r="B259" t="inlineStr">
        <is>
          <t>nonresponse</t>
        </is>
      </c>
    </row>
    <row r="260">
      <c r="A260" t="inlineStr">
        <is>
          <t>CL000259</t>
        </is>
      </c>
      <c r="B260" t="inlineStr">
        <is>
          <t>not_invited</t>
        </is>
      </c>
    </row>
    <row r="261">
      <c r="A261" t="inlineStr">
        <is>
          <t>CL000260</t>
        </is>
      </c>
      <c r="B261" t="inlineStr">
        <is>
          <t>not_invited</t>
        </is>
      </c>
    </row>
    <row r="262">
      <c r="A262" t="inlineStr">
        <is>
          <t>CL000261</t>
        </is>
      </c>
      <c r="B262" t="inlineStr">
        <is>
          <t>not_invited</t>
        </is>
      </c>
    </row>
    <row r="263">
      <c r="A263" t="inlineStr">
        <is>
          <t>CL000262</t>
        </is>
      </c>
      <c r="B263" t="inlineStr">
        <is>
          <t>not_invited</t>
        </is>
      </c>
    </row>
    <row r="264">
      <c r="A264" t="inlineStr">
        <is>
          <t>CL000263</t>
        </is>
      </c>
      <c r="B264" t="inlineStr">
        <is>
          <t>not_invited</t>
        </is>
      </c>
    </row>
    <row r="265">
      <c r="A265" t="inlineStr">
        <is>
          <t>CL000264</t>
        </is>
      </c>
      <c r="B265" t="inlineStr">
        <is>
          <t>not_invited</t>
        </is>
      </c>
    </row>
    <row r="266">
      <c r="A266" t="inlineStr">
        <is>
          <t>CL000265</t>
        </is>
      </c>
      <c r="B266" t="inlineStr">
        <is>
          <t>not_invited</t>
        </is>
      </c>
    </row>
    <row r="267">
      <c r="A267" t="inlineStr">
        <is>
          <t>CL000266</t>
        </is>
      </c>
      <c r="B267" t="inlineStr">
        <is>
          <t>not_invited</t>
        </is>
      </c>
    </row>
    <row r="268">
      <c r="A268" t="inlineStr">
        <is>
          <t>CL000267</t>
        </is>
      </c>
      <c r="B268" t="inlineStr">
        <is>
          <t>not_invited</t>
        </is>
      </c>
    </row>
    <row r="269">
      <c r="A269" t="inlineStr">
        <is>
          <t>CL000268</t>
        </is>
      </c>
      <c r="B269" t="inlineStr">
        <is>
          <t>not_invited</t>
        </is>
      </c>
    </row>
    <row r="270">
      <c r="A270" t="inlineStr">
        <is>
          <t>CL000269</t>
        </is>
      </c>
      <c r="B270" t="inlineStr">
        <is>
          <t>responded</t>
        </is>
      </c>
      <c r="C270" t="n">
        <v>0</v>
      </c>
      <c r="D270" t="n">
        <v>0</v>
      </c>
      <c r="E270" t="n">
        <v>35.29038396266813</v>
      </c>
    </row>
    <row r="271">
      <c r="A271" t="inlineStr">
        <is>
          <t>CL000270</t>
        </is>
      </c>
      <c r="B271" t="inlineStr">
        <is>
          <t>not_invited</t>
        </is>
      </c>
    </row>
    <row r="272">
      <c r="A272" t="inlineStr">
        <is>
          <t>CL000271</t>
        </is>
      </c>
      <c r="B272" t="inlineStr">
        <is>
          <t>not_invited</t>
        </is>
      </c>
    </row>
    <row r="273">
      <c r="A273" t="inlineStr">
        <is>
          <t>CL000272</t>
        </is>
      </c>
      <c r="B273" t="inlineStr">
        <is>
          <t>not_invited</t>
        </is>
      </c>
    </row>
    <row r="274">
      <c r="A274" t="inlineStr">
        <is>
          <t>CL000273</t>
        </is>
      </c>
      <c r="B274" t="inlineStr">
        <is>
          <t>not_invited</t>
        </is>
      </c>
    </row>
    <row r="275">
      <c r="A275" t="inlineStr">
        <is>
          <t>CL000274</t>
        </is>
      </c>
      <c r="B275" t="inlineStr">
        <is>
          <t>not_invited</t>
        </is>
      </c>
    </row>
    <row r="276">
      <c r="A276" t="inlineStr">
        <is>
          <t>CL000275</t>
        </is>
      </c>
      <c r="B276" t="inlineStr">
        <is>
          <t>not_invited</t>
        </is>
      </c>
    </row>
    <row r="277">
      <c r="A277" t="inlineStr">
        <is>
          <t>CL000276</t>
        </is>
      </c>
      <c r="B277" t="inlineStr">
        <is>
          <t>not_invited</t>
        </is>
      </c>
    </row>
    <row r="278">
      <c r="A278" t="inlineStr">
        <is>
          <t>CL000277</t>
        </is>
      </c>
      <c r="B278" t="inlineStr">
        <is>
          <t>not_invited</t>
        </is>
      </c>
    </row>
    <row r="279">
      <c r="A279" t="inlineStr">
        <is>
          <t>CL000278</t>
        </is>
      </c>
      <c r="B279" t="inlineStr">
        <is>
          <t>responded</t>
        </is>
      </c>
      <c r="C279" t="n">
        <v>0</v>
      </c>
      <c r="D279" t="n">
        <v>0</v>
      </c>
      <c r="E279" t="n">
        <v>35.29038396266813</v>
      </c>
    </row>
    <row r="280">
      <c r="A280" t="inlineStr">
        <is>
          <t>CL000279</t>
        </is>
      </c>
      <c r="B280" t="inlineStr">
        <is>
          <t>not_invited</t>
        </is>
      </c>
    </row>
    <row r="281">
      <c r="A281" t="inlineStr">
        <is>
          <t>CL000280</t>
        </is>
      </c>
      <c r="B281" t="inlineStr">
        <is>
          <t>not_invited</t>
        </is>
      </c>
    </row>
    <row r="282">
      <c r="A282" t="inlineStr">
        <is>
          <t>CL000281</t>
        </is>
      </c>
      <c r="B282" t="inlineStr">
        <is>
          <t>not_invited</t>
        </is>
      </c>
    </row>
    <row r="283">
      <c r="A283" t="inlineStr">
        <is>
          <t>CL000282</t>
        </is>
      </c>
      <c r="B283" t="inlineStr">
        <is>
          <t>not_invited</t>
        </is>
      </c>
    </row>
    <row r="284">
      <c r="A284" t="inlineStr">
        <is>
          <t>CL000283</t>
        </is>
      </c>
      <c r="B284" t="inlineStr">
        <is>
          <t>not_invited</t>
        </is>
      </c>
    </row>
    <row r="285">
      <c r="A285" t="inlineStr">
        <is>
          <t>CL000284</t>
        </is>
      </c>
      <c r="B285" t="inlineStr">
        <is>
          <t>not_invited</t>
        </is>
      </c>
    </row>
    <row r="286">
      <c r="A286" t="inlineStr">
        <is>
          <t>CL000285</t>
        </is>
      </c>
      <c r="B286" t="inlineStr">
        <is>
          <t>not_invited</t>
        </is>
      </c>
    </row>
    <row r="287">
      <c r="A287" t="inlineStr">
        <is>
          <t>CL000286</t>
        </is>
      </c>
      <c r="B287" t="inlineStr">
        <is>
          <t>responded</t>
        </is>
      </c>
      <c r="C287" t="n">
        <v>0</v>
      </c>
      <c r="D287" t="n">
        <v>0</v>
      </c>
      <c r="E287" t="n">
        <v>35.29038396266813</v>
      </c>
    </row>
    <row r="288">
      <c r="A288" t="inlineStr">
        <is>
          <t>CL000287</t>
        </is>
      </c>
      <c r="B288" t="inlineStr">
        <is>
          <t>not_invited</t>
        </is>
      </c>
    </row>
    <row r="289">
      <c r="A289" t="inlineStr">
        <is>
          <t>CL000288</t>
        </is>
      </c>
      <c r="B289" t="inlineStr">
        <is>
          <t>not_invited</t>
        </is>
      </c>
    </row>
    <row r="290">
      <c r="A290" t="inlineStr">
        <is>
          <t>CL000289</t>
        </is>
      </c>
      <c r="B290" t="inlineStr">
        <is>
          <t>not_invited</t>
        </is>
      </c>
    </row>
    <row r="291">
      <c r="A291" t="inlineStr">
        <is>
          <t>CL000290</t>
        </is>
      </c>
      <c r="B291" t="inlineStr">
        <is>
          <t>not_invited</t>
        </is>
      </c>
    </row>
    <row r="292">
      <c r="A292" t="inlineStr">
        <is>
          <t>CL000291</t>
        </is>
      </c>
      <c r="B292" t="inlineStr">
        <is>
          <t>not_invited</t>
        </is>
      </c>
    </row>
    <row r="293">
      <c r="A293" t="inlineStr">
        <is>
          <t>CL000292</t>
        </is>
      </c>
      <c r="B293" t="inlineStr">
        <is>
          <t>responded</t>
        </is>
      </c>
      <c r="C293" t="n">
        <v>0</v>
      </c>
      <c r="D293" t="n">
        <v>0</v>
      </c>
      <c r="E293" t="n">
        <v>35.29038396266813</v>
      </c>
    </row>
    <row r="294">
      <c r="A294" t="inlineStr">
        <is>
          <t>CL000293</t>
        </is>
      </c>
      <c r="B294" t="inlineStr">
        <is>
          <t>not_invited</t>
        </is>
      </c>
    </row>
    <row r="295">
      <c r="A295" t="inlineStr">
        <is>
          <t>CL000294</t>
        </is>
      </c>
      <c r="B295" t="inlineStr">
        <is>
          <t>not_invited</t>
        </is>
      </c>
    </row>
    <row r="296">
      <c r="A296" t="inlineStr">
        <is>
          <t>CL000295</t>
        </is>
      </c>
      <c r="B296" t="inlineStr">
        <is>
          <t>not_invited</t>
        </is>
      </c>
    </row>
    <row r="297">
      <c r="A297" t="inlineStr">
        <is>
          <t>CL000296</t>
        </is>
      </c>
      <c r="B297" t="inlineStr">
        <is>
          <t>not_invited</t>
        </is>
      </c>
    </row>
    <row r="298">
      <c r="A298" t="inlineStr">
        <is>
          <t>CL000297</t>
        </is>
      </c>
      <c r="B298" t="inlineStr">
        <is>
          <t>not_invited</t>
        </is>
      </c>
    </row>
    <row r="299">
      <c r="A299" t="inlineStr">
        <is>
          <t>CL000298</t>
        </is>
      </c>
      <c r="B299" t="inlineStr">
        <is>
          <t>not_invited</t>
        </is>
      </c>
    </row>
    <row r="300">
      <c r="A300" t="inlineStr">
        <is>
          <t>CL000299</t>
        </is>
      </c>
      <c r="B300" t="inlineStr">
        <is>
          <t>not_invited</t>
        </is>
      </c>
    </row>
    <row r="301">
      <c r="A301" t="inlineStr">
        <is>
          <t>CL000300</t>
        </is>
      </c>
      <c r="B301" t="inlineStr">
        <is>
          <t>not_invited</t>
        </is>
      </c>
    </row>
    <row r="302">
      <c r="A302" t="inlineStr">
        <is>
          <t>CL000301</t>
        </is>
      </c>
      <c r="B302" t="inlineStr">
        <is>
          <t>not_invited</t>
        </is>
      </c>
    </row>
    <row r="303">
      <c r="A303" t="inlineStr">
        <is>
          <t>CL000302</t>
        </is>
      </c>
      <c r="B303" t="inlineStr">
        <is>
          <t>not_invited</t>
        </is>
      </c>
    </row>
    <row r="304">
      <c r="A304" t="inlineStr">
        <is>
          <t>CL000303</t>
        </is>
      </c>
      <c r="B304" t="inlineStr">
        <is>
          <t>not_invited</t>
        </is>
      </c>
    </row>
    <row r="305">
      <c r="A305" t="inlineStr">
        <is>
          <t>CL000304</t>
        </is>
      </c>
      <c r="B305" t="inlineStr">
        <is>
          <t>not_invited</t>
        </is>
      </c>
    </row>
    <row r="306">
      <c r="A306" t="inlineStr">
        <is>
          <t>CL000305</t>
        </is>
      </c>
      <c r="B306" t="inlineStr">
        <is>
          <t>not_invited</t>
        </is>
      </c>
    </row>
    <row r="307">
      <c r="A307" t="inlineStr">
        <is>
          <t>CL000306</t>
        </is>
      </c>
      <c r="B307" t="inlineStr">
        <is>
          <t>not_invited</t>
        </is>
      </c>
    </row>
    <row r="308">
      <c r="A308" t="inlineStr">
        <is>
          <t>CL000307</t>
        </is>
      </c>
      <c r="B308" t="inlineStr">
        <is>
          <t>not_invited</t>
        </is>
      </c>
    </row>
    <row r="309">
      <c r="A309" t="inlineStr">
        <is>
          <t>CL000308</t>
        </is>
      </c>
      <c r="B309" t="inlineStr">
        <is>
          <t>not_invited</t>
        </is>
      </c>
    </row>
    <row r="310">
      <c r="A310" t="inlineStr">
        <is>
          <t>CL000309</t>
        </is>
      </c>
      <c r="B310" t="inlineStr">
        <is>
          <t>not_invited</t>
        </is>
      </c>
    </row>
    <row r="311">
      <c r="A311" t="inlineStr">
        <is>
          <t>CL000310</t>
        </is>
      </c>
      <c r="B311" t="inlineStr">
        <is>
          <t>not_invited</t>
        </is>
      </c>
    </row>
    <row r="312">
      <c r="A312" t="inlineStr">
        <is>
          <t>CL000311</t>
        </is>
      </c>
      <c r="B312" t="inlineStr">
        <is>
          <t>not_invited</t>
        </is>
      </c>
    </row>
    <row r="313">
      <c r="A313" t="inlineStr">
        <is>
          <t>CL000312</t>
        </is>
      </c>
      <c r="B313" t="inlineStr">
        <is>
          <t>not_invited</t>
        </is>
      </c>
    </row>
    <row r="314">
      <c r="A314" t="inlineStr">
        <is>
          <t>CL000313</t>
        </is>
      </c>
      <c r="B314" t="inlineStr">
        <is>
          <t>not_invited</t>
        </is>
      </c>
    </row>
    <row r="315">
      <c r="A315" t="inlineStr">
        <is>
          <t>CL000314</t>
        </is>
      </c>
      <c r="B315" t="inlineStr">
        <is>
          <t>not_invited</t>
        </is>
      </c>
    </row>
    <row r="316">
      <c r="A316" t="inlineStr">
        <is>
          <t>CL000315</t>
        </is>
      </c>
      <c r="B316" t="inlineStr">
        <is>
          <t>not_invited</t>
        </is>
      </c>
    </row>
    <row r="317">
      <c r="A317" t="inlineStr">
        <is>
          <t>CL000316</t>
        </is>
      </c>
      <c r="B317" t="inlineStr">
        <is>
          <t>not_invited</t>
        </is>
      </c>
    </row>
    <row r="318">
      <c r="A318" t="inlineStr">
        <is>
          <t>CL000317</t>
        </is>
      </c>
      <c r="B318" t="inlineStr">
        <is>
          <t>not_invited</t>
        </is>
      </c>
    </row>
    <row r="319">
      <c r="A319" t="inlineStr">
        <is>
          <t>CL000318</t>
        </is>
      </c>
      <c r="B319" t="inlineStr">
        <is>
          <t>not_invited</t>
        </is>
      </c>
    </row>
    <row r="320">
      <c r="A320" t="inlineStr">
        <is>
          <t>CL000319</t>
        </is>
      </c>
      <c r="B320" t="inlineStr">
        <is>
          <t>not_invited</t>
        </is>
      </c>
    </row>
    <row r="321">
      <c r="A321" t="inlineStr">
        <is>
          <t>CL000320</t>
        </is>
      </c>
      <c r="B321" t="inlineStr">
        <is>
          <t>not_invited</t>
        </is>
      </c>
    </row>
    <row r="322">
      <c r="A322" t="inlineStr">
        <is>
          <t>CL000321</t>
        </is>
      </c>
      <c r="B322" t="inlineStr">
        <is>
          <t>not_invited</t>
        </is>
      </c>
    </row>
    <row r="323">
      <c r="A323" t="inlineStr">
        <is>
          <t>CL000322</t>
        </is>
      </c>
      <c r="B323" t="inlineStr">
        <is>
          <t>not_invited</t>
        </is>
      </c>
    </row>
    <row r="324">
      <c r="A324" t="inlineStr">
        <is>
          <t>CL000323</t>
        </is>
      </c>
      <c r="B324" t="inlineStr">
        <is>
          <t>not_invited</t>
        </is>
      </c>
    </row>
    <row r="325">
      <c r="A325" t="inlineStr">
        <is>
          <t>CL000324</t>
        </is>
      </c>
      <c r="B325" t="inlineStr">
        <is>
          <t>not_invited</t>
        </is>
      </c>
    </row>
    <row r="326">
      <c r="A326" t="inlineStr">
        <is>
          <t>CL000325</t>
        </is>
      </c>
      <c r="B326" t="inlineStr">
        <is>
          <t>not_invited</t>
        </is>
      </c>
    </row>
    <row r="327">
      <c r="A327" t="inlineStr">
        <is>
          <t>CL000326</t>
        </is>
      </c>
      <c r="B327" t="inlineStr">
        <is>
          <t>not_invited</t>
        </is>
      </c>
    </row>
    <row r="328">
      <c r="A328" t="inlineStr">
        <is>
          <t>CL000327</t>
        </is>
      </c>
      <c r="B328" t="inlineStr">
        <is>
          <t>responded</t>
        </is>
      </c>
      <c r="C328" t="n">
        <v>0</v>
      </c>
      <c r="D328" t="n">
        <v>0</v>
      </c>
      <c r="E328" t="n">
        <v>35.29038396266813</v>
      </c>
    </row>
    <row r="329">
      <c r="A329" t="inlineStr">
        <is>
          <t>CL000328</t>
        </is>
      </c>
      <c r="B329" t="inlineStr">
        <is>
          <t>not_invited</t>
        </is>
      </c>
    </row>
    <row r="330">
      <c r="A330" t="inlineStr">
        <is>
          <t>CL000329</t>
        </is>
      </c>
      <c r="B330" t="inlineStr">
        <is>
          <t>not_invited</t>
        </is>
      </c>
    </row>
    <row r="331">
      <c r="A331" t="inlineStr">
        <is>
          <t>CL000330</t>
        </is>
      </c>
      <c r="B331" t="inlineStr">
        <is>
          <t>not_invited</t>
        </is>
      </c>
    </row>
    <row r="332">
      <c r="A332" t="inlineStr">
        <is>
          <t>CL000331</t>
        </is>
      </c>
      <c r="B332" t="inlineStr">
        <is>
          <t>not_invited</t>
        </is>
      </c>
    </row>
    <row r="333">
      <c r="A333" t="inlineStr">
        <is>
          <t>CL000332</t>
        </is>
      </c>
      <c r="B333" t="inlineStr">
        <is>
          <t>not_invited</t>
        </is>
      </c>
    </row>
    <row r="334">
      <c r="A334" t="inlineStr">
        <is>
          <t>CL000333</t>
        </is>
      </c>
      <c r="B334" t="inlineStr">
        <is>
          <t>not_invited</t>
        </is>
      </c>
    </row>
    <row r="335">
      <c r="A335" t="inlineStr">
        <is>
          <t>CL000334</t>
        </is>
      </c>
      <c r="B335" t="inlineStr">
        <is>
          <t>not_invited</t>
        </is>
      </c>
    </row>
    <row r="336">
      <c r="A336" t="inlineStr">
        <is>
          <t>CL000335</t>
        </is>
      </c>
      <c r="B336" t="inlineStr">
        <is>
          <t>not_invited</t>
        </is>
      </c>
    </row>
    <row r="337">
      <c r="A337" t="inlineStr">
        <is>
          <t>CL000336</t>
        </is>
      </c>
      <c r="B337" t="inlineStr">
        <is>
          <t>not_invited</t>
        </is>
      </c>
    </row>
    <row r="338">
      <c r="A338" t="inlineStr">
        <is>
          <t>CL000337</t>
        </is>
      </c>
      <c r="B338" t="inlineStr">
        <is>
          <t>not_invited</t>
        </is>
      </c>
    </row>
    <row r="339">
      <c r="A339" t="inlineStr">
        <is>
          <t>CL000338</t>
        </is>
      </c>
      <c r="B339" t="inlineStr">
        <is>
          <t>not_invited</t>
        </is>
      </c>
    </row>
    <row r="340">
      <c r="A340" t="inlineStr">
        <is>
          <t>CL000339</t>
        </is>
      </c>
      <c r="B340" t="inlineStr">
        <is>
          <t>not_invited</t>
        </is>
      </c>
    </row>
    <row r="341">
      <c r="A341" t="inlineStr">
        <is>
          <t>CL000340</t>
        </is>
      </c>
      <c r="B341" t="inlineStr">
        <is>
          <t>not_invited</t>
        </is>
      </c>
    </row>
    <row r="342">
      <c r="A342" t="inlineStr">
        <is>
          <t>CL000341</t>
        </is>
      </c>
      <c r="B342" t="inlineStr">
        <is>
          <t>not_invited</t>
        </is>
      </c>
    </row>
    <row r="343">
      <c r="A343" t="inlineStr">
        <is>
          <t>CL000342</t>
        </is>
      </c>
      <c r="B343" t="inlineStr">
        <is>
          <t>not_invited</t>
        </is>
      </c>
    </row>
    <row r="344">
      <c r="A344" t="inlineStr">
        <is>
          <t>CL000343</t>
        </is>
      </c>
      <c r="B344" t="inlineStr">
        <is>
          <t>not_invited</t>
        </is>
      </c>
    </row>
    <row r="345">
      <c r="A345" t="inlineStr">
        <is>
          <t>CL000344</t>
        </is>
      </c>
      <c r="B345" t="inlineStr">
        <is>
          <t>not_invited</t>
        </is>
      </c>
    </row>
    <row r="346">
      <c r="A346" t="inlineStr">
        <is>
          <t>CL000345</t>
        </is>
      </c>
      <c r="B346" t="inlineStr">
        <is>
          <t>responded</t>
        </is>
      </c>
      <c r="C346" t="n">
        <v>0</v>
      </c>
      <c r="D346" t="n">
        <v>0</v>
      </c>
      <c r="E346" t="n">
        <v>35.29038396266813</v>
      </c>
    </row>
    <row r="347">
      <c r="A347" t="inlineStr">
        <is>
          <t>CL000346</t>
        </is>
      </c>
      <c r="B347" t="inlineStr">
        <is>
          <t>not_invited</t>
        </is>
      </c>
    </row>
    <row r="348">
      <c r="A348" t="inlineStr">
        <is>
          <t>CL000347</t>
        </is>
      </c>
      <c r="B348" t="inlineStr">
        <is>
          <t>not_invited</t>
        </is>
      </c>
    </row>
    <row r="349">
      <c r="A349" t="inlineStr">
        <is>
          <t>CL000348</t>
        </is>
      </c>
      <c r="B349" t="inlineStr">
        <is>
          <t>not_invited</t>
        </is>
      </c>
    </row>
    <row r="350">
      <c r="A350" t="inlineStr">
        <is>
          <t>CL000349</t>
        </is>
      </c>
      <c r="B350" t="inlineStr">
        <is>
          <t>not_invited</t>
        </is>
      </c>
    </row>
    <row r="351">
      <c r="A351" t="inlineStr">
        <is>
          <t>CL000350</t>
        </is>
      </c>
      <c r="B351" t="inlineStr">
        <is>
          <t>not_invited</t>
        </is>
      </c>
    </row>
    <row r="352">
      <c r="A352" t="inlineStr">
        <is>
          <t>CL000351</t>
        </is>
      </c>
      <c r="B352" t="inlineStr">
        <is>
          <t>not_invited</t>
        </is>
      </c>
    </row>
    <row r="353">
      <c r="A353" t="inlineStr">
        <is>
          <t>CL000352</t>
        </is>
      </c>
      <c r="B353" t="inlineStr">
        <is>
          <t>not_invited</t>
        </is>
      </c>
    </row>
    <row r="354">
      <c r="A354" t="inlineStr">
        <is>
          <t>CL000353</t>
        </is>
      </c>
      <c r="B354" t="inlineStr">
        <is>
          <t>not_invited</t>
        </is>
      </c>
    </row>
    <row r="355">
      <c r="A355" t="inlineStr">
        <is>
          <t>CL000354</t>
        </is>
      </c>
      <c r="B355" t="inlineStr">
        <is>
          <t>not_invited</t>
        </is>
      </c>
    </row>
    <row r="356">
      <c r="A356" t="inlineStr">
        <is>
          <t>CL000355</t>
        </is>
      </c>
      <c r="B356" t="inlineStr">
        <is>
          <t>not_invited</t>
        </is>
      </c>
    </row>
    <row r="357">
      <c r="A357" t="inlineStr">
        <is>
          <t>CL000356</t>
        </is>
      </c>
      <c r="B357" t="inlineStr">
        <is>
          <t>not_invited</t>
        </is>
      </c>
    </row>
    <row r="358">
      <c r="A358" t="inlineStr">
        <is>
          <t>CL000357</t>
        </is>
      </c>
      <c r="B358" t="inlineStr">
        <is>
          <t>not_invited</t>
        </is>
      </c>
    </row>
    <row r="359">
      <c r="A359" t="inlineStr">
        <is>
          <t>CL000358</t>
        </is>
      </c>
      <c r="B359" t="inlineStr">
        <is>
          <t>not_invited</t>
        </is>
      </c>
    </row>
    <row r="360">
      <c r="A360" t="inlineStr">
        <is>
          <t>CL000359</t>
        </is>
      </c>
      <c r="B360" t="inlineStr">
        <is>
          <t>not_invited</t>
        </is>
      </c>
    </row>
    <row r="361">
      <c r="A361" t="inlineStr">
        <is>
          <t>CL000360</t>
        </is>
      </c>
      <c r="B361" t="inlineStr">
        <is>
          <t>not_invited</t>
        </is>
      </c>
    </row>
    <row r="362">
      <c r="A362" t="inlineStr">
        <is>
          <t>CL000361</t>
        </is>
      </c>
      <c r="B362" t="inlineStr">
        <is>
          <t>not_invited</t>
        </is>
      </c>
    </row>
    <row r="363">
      <c r="A363" t="inlineStr">
        <is>
          <t>CL000362</t>
        </is>
      </c>
      <c r="B363" t="inlineStr">
        <is>
          <t>not_invited</t>
        </is>
      </c>
    </row>
    <row r="364">
      <c r="A364" t="inlineStr">
        <is>
          <t>CL000363</t>
        </is>
      </c>
      <c r="B364" t="inlineStr">
        <is>
          <t>responded</t>
        </is>
      </c>
      <c r="C364" t="n">
        <v>1</v>
      </c>
      <c r="D364" t="n">
        <v>1</v>
      </c>
      <c r="E364" t="n">
        <v>63.24711745155093</v>
      </c>
    </row>
    <row r="365">
      <c r="A365" t="inlineStr">
        <is>
          <t>CL000364</t>
        </is>
      </c>
      <c r="B365" t="inlineStr">
        <is>
          <t>not_invited</t>
        </is>
      </c>
    </row>
    <row r="366">
      <c r="A366" t="inlineStr">
        <is>
          <t>CL000365</t>
        </is>
      </c>
      <c r="B366" t="inlineStr">
        <is>
          <t>not_invited</t>
        </is>
      </c>
    </row>
    <row r="367">
      <c r="A367" t="inlineStr">
        <is>
          <t>CL000366</t>
        </is>
      </c>
      <c r="B367" t="inlineStr">
        <is>
          <t>not_invited</t>
        </is>
      </c>
    </row>
    <row r="368">
      <c r="A368" t="inlineStr">
        <is>
          <t>CL000367</t>
        </is>
      </c>
      <c r="B368" t="inlineStr">
        <is>
          <t>not_invited</t>
        </is>
      </c>
    </row>
    <row r="369">
      <c r="A369" t="inlineStr">
        <is>
          <t>CL000368</t>
        </is>
      </c>
      <c r="B369" t="inlineStr">
        <is>
          <t>not_invited</t>
        </is>
      </c>
    </row>
    <row r="370">
      <c r="A370" t="inlineStr">
        <is>
          <t>CL000369</t>
        </is>
      </c>
      <c r="B370" t="inlineStr">
        <is>
          <t>not_invited</t>
        </is>
      </c>
    </row>
    <row r="371">
      <c r="A371" t="inlineStr">
        <is>
          <t>CL000370</t>
        </is>
      </c>
      <c r="B371" t="inlineStr">
        <is>
          <t>not_invited</t>
        </is>
      </c>
    </row>
    <row r="372">
      <c r="A372" t="inlineStr">
        <is>
          <t>CL000371</t>
        </is>
      </c>
      <c r="B372" t="inlineStr">
        <is>
          <t>not_invited</t>
        </is>
      </c>
    </row>
    <row r="373">
      <c r="A373" t="inlineStr">
        <is>
          <t>CL000372</t>
        </is>
      </c>
      <c r="B373" t="inlineStr">
        <is>
          <t>not_invited</t>
        </is>
      </c>
    </row>
    <row r="374">
      <c r="A374" t="inlineStr">
        <is>
          <t>CL000373</t>
        </is>
      </c>
      <c r="B374" t="inlineStr">
        <is>
          <t>not_invited</t>
        </is>
      </c>
    </row>
    <row r="375">
      <c r="A375" t="inlineStr">
        <is>
          <t>CL000374</t>
        </is>
      </c>
      <c r="B375" t="inlineStr">
        <is>
          <t>not_invited</t>
        </is>
      </c>
    </row>
    <row r="376">
      <c r="A376" t="inlineStr">
        <is>
          <t>CL000375</t>
        </is>
      </c>
      <c r="B376" t="inlineStr">
        <is>
          <t>not_invited</t>
        </is>
      </c>
    </row>
    <row r="377">
      <c r="A377" t="inlineStr">
        <is>
          <t>CL000376</t>
        </is>
      </c>
      <c r="B377" t="inlineStr">
        <is>
          <t>not_invited</t>
        </is>
      </c>
    </row>
    <row r="378">
      <c r="A378" t="inlineStr">
        <is>
          <t>CL000377</t>
        </is>
      </c>
      <c r="B378" t="inlineStr">
        <is>
          <t>not_invited</t>
        </is>
      </c>
    </row>
    <row r="379">
      <c r="A379" t="inlineStr">
        <is>
          <t>CL000378</t>
        </is>
      </c>
      <c r="B379" t="inlineStr">
        <is>
          <t>not_invited</t>
        </is>
      </c>
    </row>
    <row r="380">
      <c r="A380" t="inlineStr">
        <is>
          <t>CL000379</t>
        </is>
      </c>
      <c r="B380" t="inlineStr">
        <is>
          <t>not_invited</t>
        </is>
      </c>
    </row>
    <row r="381">
      <c r="A381" t="inlineStr">
        <is>
          <t>CL000380</t>
        </is>
      </c>
      <c r="B381" t="inlineStr">
        <is>
          <t>not_invited</t>
        </is>
      </c>
    </row>
    <row r="382">
      <c r="A382" t="inlineStr">
        <is>
          <t>CL000381</t>
        </is>
      </c>
      <c r="B382" t="inlineStr">
        <is>
          <t>not_invited</t>
        </is>
      </c>
    </row>
    <row r="383">
      <c r="A383" t="inlineStr">
        <is>
          <t>CL000382</t>
        </is>
      </c>
      <c r="B383" t="inlineStr">
        <is>
          <t>not_invited</t>
        </is>
      </c>
    </row>
    <row r="384">
      <c r="A384" t="inlineStr">
        <is>
          <t>CL000383</t>
        </is>
      </c>
      <c r="B384" t="inlineStr">
        <is>
          <t>not_invited</t>
        </is>
      </c>
    </row>
    <row r="385">
      <c r="A385" t="inlineStr">
        <is>
          <t>CL000384</t>
        </is>
      </c>
      <c r="B385" t="inlineStr">
        <is>
          <t>not_invited</t>
        </is>
      </c>
    </row>
    <row r="386">
      <c r="A386" t="inlineStr">
        <is>
          <t>CL000385</t>
        </is>
      </c>
      <c r="B386" t="inlineStr">
        <is>
          <t>not_invited</t>
        </is>
      </c>
    </row>
    <row r="387">
      <c r="A387" t="inlineStr">
        <is>
          <t>CL000386</t>
        </is>
      </c>
      <c r="B387" t="inlineStr">
        <is>
          <t>not_invited</t>
        </is>
      </c>
    </row>
    <row r="388">
      <c r="A388" t="inlineStr">
        <is>
          <t>CL000387</t>
        </is>
      </c>
      <c r="B388" t="inlineStr">
        <is>
          <t>not_invited</t>
        </is>
      </c>
    </row>
    <row r="389">
      <c r="A389" t="inlineStr">
        <is>
          <t>CL000388</t>
        </is>
      </c>
      <c r="B389" t="inlineStr">
        <is>
          <t>not_invited</t>
        </is>
      </c>
    </row>
    <row r="390">
      <c r="A390" t="inlineStr">
        <is>
          <t>CL000389</t>
        </is>
      </c>
      <c r="B390" t="inlineStr">
        <is>
          <t>not_invited</t>
        </is>
      </c>
    </row>
    <row r="391">
      <c r="A391" t="inlineStr">
        <is>
          <t>CL000390</t>
        </is>
      </c>
      <c r="B391" t="inlineStr">
        <is>
          <t>not_invited</t>
        </is>
      </c>
    </row>
    <row r="392">
      <c r="A392" t="inlineStr">
        <is>
          <t>CL000391</t>
        </is>
      </c>
      <c r="B392" t="inlineStr">
        <is>
          <t>not_invited</t>
        </is>
      </c>
    </row>
    <row r="393">
      <c r="A393" t="inlineStr">
        <is>
          <t>CL000392</t>
        </is>
      </c>
      <c r="B393" t="inlineStr">
        <is>
          <t>not_invited</t>
        </is>
      </c>
    </row>
    <row r="394">
      <c r="A394" t="inlineStr">
        <is>
          <t>CL000393</t>
        </is>
      </c>
      <c r="B394" t="inlineStr">
        <is>
          <t>not_invited</t>
        </is>
      </c>
    </row>
    <row r="395">
      <c r="A395" t="inlineStr">
        <is>
          <t>CL000394</t>
        </is>
      </c>
      <c r="B395" t="inlineStr">
        <is>
          <t>not_invited</t>
        </is>
      </c>
    </row>
    <row r="396">
      <c r="A396" t="inlineStr">
        <is>
          <t>CL000395</t>
        </is>
      </c>
      <c r="B396" t="inlineStr">
        <is>
          <t>not_invited</t>
        </is>
      </c>
    </row>
    <row r="397">
      <c r="A397" t="inlineStr">
        <is>
          <t>CL000396</t>
        </is>
      </c>
      <c r="B397" t="inlineStr">
        <is>
          <t>not_invited</t>
        </is>
      </c>
    </row>
    <row r="398">
      <c r="A398" t="inlineStr">
        <is>
          <t>CL000397</t>
        </is>
      </c>
      <c r="B398" t="inlineStr">
        <is>
          <t>not_invited</t>
        </is>
      </c>
    </row>
    <row r="399">
      <c r="A399" t="inlineStr">
        <is>
          <t>CL000398</t>
        </is>
      </c>
      <c r="B399" t="inlineStr">
        <is>
          <t>not_invited</t>
        </is>
      </c>
    </row>
    <row r="400">
      <c r="A400" t="inlineStr">
        <is>
          <t>CL000399</t>
        </is>
      </c>
      <c r="B400" t="inlineStr">
        <is>
          <t>not_invited</t>
        </is>
      </c>
    </row>
    <row r="401">
      <c r="A401" t="inlineStr">
        <is>
          <t>CL000400</t>
        </is>
      </c>
      <c r="B401" t="inlineStr">
        <is>
          <t>not_invited</t>
        </is>
      </c>
    </row>
    <row r="402">
      <c r="A402" t="inlineStr">
        <is>
          <t>CL000401</t>
        </is>
      </c>
      <c r="B402" t="inlineStr">
        <is>
          <t>not_invited</t>
        </is>
      </c>
    </row>
    <row r="403">
      <c r="A403" t="inlineStr">
        <is>
          <t>CL000402</t>
        </is>
      </c>
      <c r="B403" t="inlineStr">
        <is>
          <t>not_invited</t>
        </is>
      </c>
    </row>
    <row r="404">
      <c r="A404" t="inlineStr">
        <is>
          <t>CL000403</t>
        </is>
      </c>
      <c r="B404" t="inlineStr">
        <is>
          <t>not_invited</t>
        </is>
      </c>
    </row>
    <row r="405">
      <c r="A405" t="inlineStr">
        <is>
          <t>CL000404</t>
        </is>
      </c>
      <c r="B405" t="inlineStr">
        <is>
          <t>not_invited</t>
        </is>
      </c>
    </row>
    <row r="406">
      <c r="A406" t="inlineStr">
        <is>
          <t>CL000405</t>
        </is>
      </c>
      <c r="B406" t="inlineStr">
        <is>
          <t>not_invited</t>
        </is>
      </c>
    </row>
    <row r="407">
      <c r="A407" t="inlineStr">
        <is>
          <t>CL000406</t>
        </is>
      </c>
      <c r="B407" t="inlineStr">
        <is>
          <t>not_invited</t>
        </is>
      </c>
    </row>
    <row r="408">
      <c r="A408" t="inlineStr">
        <is>
          <t>CL000407</t>
        </is>
      </c>
      <c r="B408" t="inlineStr">
        <is>
          <t>not_invited</t>
        </is>
      </c>
    </row>
    <row r="409">
      <c r="A409" t="inlineStr">
        <is>
          <t>CL000408</t>
        </is>
      </c>
      <c r="B409" t="inlineStr">
        <is>
          <t>not_invited</t>
        </is>
      </c>
    </row>
    <row r="410">
      <c r="A410" t="inlineStr">
        <is>
          <t>CL000409</t>
        </is>
      </c>
      <c r="B410" t="inlineStr">
        <is>
          <t>not_invited</t>
        </is>
      </c>
    </row>
    <row r="411">
      <c r="A411" t="inlineStr">
        <is>
          <t>CL000410</t>
        </is>
      </c>
      <c r="B411" t="inlineStr">
        <is>
          <t>not_invited</t>
        </is>
      </c>
    </row>
    <row r="412">
      <c r="A412" t="inlineStr">
        <is>
          <t>CL000411</t>
        </is>
      </c>
      <c r="B412" t="inlineStr">
        <is>
          <t>not_invited</t>
        </is>
      </c>
    </row>
    <row r="413">
      <c r="A413" t="inlineStr">
        <is>
          <t>CL000412</t>
        </is>
      </c>
      <c r="B413" t="inlineStr">
        <is>
          <t>not_invited</t>
        </is>
      </c>
    </row>
    <row r="414">
      <c r="A414" t="inlineStr">
        <is>
          <t>CL000413</t>
        </is>
      </c>
      <c r="B414" t="inlineStr">
        <is>
          <t>not_invited</t>
        </is>
      </c>
    </row>
    <row r="415">
      <c r="A415" t="inlineStr">
        <is>
          <t>CL000414</t>
        </is>
      </c>
      <c r="B415" t="inlineStr">
        <is>
          <t>not_invited</t>
        </is>
      </c>
    </row>
    <row r="416">
      <c r="A416" t="inlineStr">
        <is>
          <t>CL000415</t>
        </is>
      </c>
      <c r="B416" t="inlineStr">
        <is>
          <t>not_invited</t>
        </is>
      </c>
    </row>
    <row r="417">
      <c r="A417" t="inlineStr">
        <is>
          <t>CL000416</t>
        </is>
      </c>
      <c r="B417" t="inlineStr">
        <is>
          <t>not_invited</t>
        </is>
      </c>
    </row>
    <row r="418">
      <c r="A418" t="inlineStr">
        <is>
          <t>CL000417</t>
        </is>
      </c>
      <c r="B418" t="inlineStr">
        <is>
          <t>not_invited</t>
        </is>
      </c>
    </row>
    <row r="419">
      <c r="A419" t="inlineStr">
        <is>
          <t>CL000418</t>
        </is>
      </c>
      <c r="B419" t="inlineStr">
        <is>
          <t>not_invited</t>
        </is>
      </c>
    </row>
    <row r="420">
      <c r="A420" t="inlineStr">
        <is>
          <t>CL000419</t>
        </is>
      </c>
      <c r="B420" t="inlineStr">
        <is>
          <t>not_invited</t>
        </is>
      </c>
    </row>
    <row r="421">
      <c r="A421" t="inlineStr">
        <is>
          <t>CL000420</t>
        </is>
      </c>
      <c r="B421" t="inlineStr">
        <is>
          <t>not_invited</t>
        </is>
      </c>
    </row>
    <row r="422">
      <c r="A422" t="inlineStr">
        <is>
          <t>CL000421</t>
        </is>
      </c>
      <c r="B422" t="inlineStr">
        <is>
          <t>not_invited</t>
        </is>
      </c>
    </row>
    <row r="423">
      <c r="A423" t="inlineStr">
        <is>
          <t>CL000422</t>
        </is>
      </c>
      <c r="B423" t="inlineStr">
        <is>
          <t>not_invited</t>
        </is>
      </c>
    </row>
    <row r="424">
      <c r="A424" t="inlineStr">
        <is>
          <t>CL000423</t>
        </is>
      </c>
      <c r="B424" t="inlineStr">
        <is>
          <t>not_invited</t>
        </is>
      </c>
    </row>
    <row r="425">
      <c r="A425" t="inlineStr">
        <is>
          <t>CL000424</t>
        </is>
      </c>
      <c r="B425" t="inlineStr">
        <is>
          <t>not_invited</t>
        </is>
      </c>
    </row>
    <row r="426">
      <c r="A426" t="inlineStr">
        <is>
          <t>CL000425</t>
        </is>
      </c>
      <c r="B426" t="inlineStr">
        <is>
          <t>not_invited</t>
        </is>
      </c>
    </row>
    <row r="427">
      <c r="A427" t="inlineStr">
        <is>
          <t>CL000426</t>
        </is>
      </c>
      <c r="B427" t="inlineStr">
        <is>
          <t>nonresponse</t>
        </is>
      </c>
    </row>
    <row r="428">
      <c r="A428" t="inlineStr">
        <is>
          <t>CL000427</t>
        </is>
      </c>
      <c r="B428" t="inlineStr">
        <is>
          <t>not_invited</t>
        </is>
      </c>
    </row>
    <row r="429">
      <c r="A429" t="inlineStr">
        <is>
          <t>CL000428</t>
        </is>
      </c>
      <c r="B429" t="inlineStr">
        <is>
          <t>not_invited</t>
        </is>
      </c>
    </row>
    <row r="430">
      <c r="A430" t="inlineStr">
        <is>
          <t>CL000429</t>
        </is>
      </c>
      <c r="B430" t="inlineStr">
        <is>
          <t>not_invited</t>
        </is>
      </c>
    </row>
    <row r="431">
      <c r="A431" t="inlineStr">
        <is>
          <t>CL000430</t>
        </is>
      </c>
      <c r="B431" t="inlineStr">
        <is>
          <t>not_invited</t>
        </is>
      </c>
    </row>
    <row r="432">
      <c r="A432" t="inlineStr">
        <is>
          <t>CL000431</t>
        </is>
      </c>
      <c r="B432" t="inlineStr">
        <is>
          <t>not_invited</t>
        </is>
      </c>
    </row>
    <row r="433">
      <c r="A433" t="inlineStr">
        <is>
          <t>CL000432</t>
        </is>
      </c>
      <c r="B433" t="inlineStr">
        <is>
          <t>not_invited</t>
        </is>
      </c>
    </row>
    <row r="434">
      <c r="A434" t="inlineStr">
        <is>
          <t>CL000433</t>
        </is>
      </c>
      <c r="B434" t="inlineStr">
        <is>
          <t>not_invited</t>
        </is>
      </c>
    </row>
    <row r="435">
      <c r="A435" t="inlineStr">
        <is>
          <t>CL000434</t>
        </is>
      </c>
      <c r="B435" t="inlineStr">
        <is>
          <t>not_invited</t>
        </is>
      </c>
    </row>
    <row r="436">
      <c r="A436" t="inlineStr">
        <is>
          <t>CL000435</t>
        </is>
      </c>
      <c r="B436" t="inlineStr">
        <is>
          <t>not_invited</t>
        </is>
      </c>
    </row>
    <row r="437">
      <c r="A437" t="inlineStr">
        <is>
          <t>CL000436</t>
        </is>
      </c>
      <c r="B437" t="inlineStr">
        <is>
          <t>not_invited</t>
        </is>
      </c>
    </row>
    <row r="438">
      <c r="A438" t="inlineStr">
        <is>
          <t>CL000437</t>
        </is>
      </c>
      <c r="B438" t="inlineStr">
        <is>
          <t>nonresponse</t>
        </is>
      </c>
    </row>
    <row r="439">
      <c r="A439" t="inlineStr">
        <is>
          <t>CL000438</t>
        </is>
      </c>
      <c r="B439" t="inlineStr">
        <is>
          <t>not_invited</t>
        </is>
      </c>
    </row>
    <row r="440">
      <c r="A440" t="inlineStr">
        <is>
          <t>CL000439</t>
        </is>
      </c>
      <c r="B440" t="inlineStr">
        <is>
          <t>not_invited</t>
        </is>
      </c>
    </row>
    <row r="441">
      <c r="A441" t="inlineStr">
        <is>
          <t>CL000440</t>
        </is>
      </c>
      <c r="B441" t="inlineStr">
        <is>
          <t>not_invited</t>
        </is>
      </c>
    </row>
    <row r="442">
      <c r="A442" t="inlineStr">
        <is>
          <t>CL000441</t>
        </is>
      </c>
      <c r="B442" t="inlineStr">
        <is>
          <t>not_invited</t>
        </is>
      </c>
    </row>
    <row r="443">
      <c r="A443" t="inlineStr">
        <is>
          <t>CL000442</t>
        </is>
      </c>
      <c r="B443" t="inlineStr">
        <is>
          <t>not_invited</t>
        </is>
      </c>
    </row>
    <row r="444">
      <c r="A444" t="inlineStr">
        <is>
          <t>CL000443</t>
        </is>
      </c>
      <c r="B444" t="inlineStr">
        <is>
          <t>not_invited</t>
        </is>
      </c>
    </row>
    <row r="445">
      <c r="A445" t="inlineStr">
        <is>
          <t>CL000444</t>
        </is>
      </c>
      <c r="B445" t="inlineStr">
        <is>
          <t>not_invited</t>
        </is>
      </c>
    </row>
    <row r="446">
      <c r="A446" t="inlineStr">
        <is>
          <t>CL000445</t>
        </is>
      </c>
      <c r="B446" t="inlineStr">
        <is>
          <t>not_invited</t>
        </is>
      </c>
    </row>
    <row r="447">
      <c r="A447" t="inlineStr">
        <is>
          <t>CL000446</t>
        </is>
      </c>
      <c r="B447" t="inlineStr">
        <is>
          <t>not_invited</t>
        </is>
      </c>
    </row>
    <row r="448">
      <c r="A448" t="inlineStr">
        <is>
          <t>CL000447</t>
        </is>
      </c>
      <c r="B448" t="inlineStr">
        <is>
          <t>not_invited</t>
        </is>
      </c>
    </row>
    <row r="449">
      <c r="A449" t="inlineStr">
        <is>
          <t>CL000448</t>
        </is>
      </c>
      <c r="B449" t="inlineStr">
        <is>
          <t>not_invited</t>
        </is>
      </c>
    </row>
    <row r="450">
      <c r="A450" t="inlineStr">
        <is>
          <t>CL000449</t>
        </is>
      </c>
      <c r="B450" t="inlineStr">
        <is>
          <t>not_invited</t>
        </is>
      </c>
    </row>
    <row r="451">
      <c r="A451" t="inlineStr">
        <is>
          <t>CL000450</t>
        </is>
      </c>
      <c r="B451" t="inlineStr">
        <is>
          <t>responded</t>
        </is>
      </c>
      <c r="C451" t="n">
        <v>0</v>
      </c>
      <c r="D451" t="n">
        <v>0</v>
      </c>
      <c r="E451" t="n">
        <v>35.29038396266813</v>
      </c>
    </row>
    <row r="452">
      <c r="A452" t="inlineStr">
        <is>
          <t>CL000451</t>
        </is>
      </c>
      <c r="B452" t="inlineStr">
        <is>
          <t>not_invited</t>
        </is>
      </c>
    </row>
    <row r="453">
      <c r="A453" t="inlineStr">
        <is>
          <t>CL000452</t>
        </is>
      </c>
      <c r="B453" t="inlineStr">
        <is>
          <t>not_invited</t>
        </is>
      </c>
    </row>
    <row r="454">
      <c r="A454" t="inlineStr">
        <is>
          <t>CL000453</t>
        </is>
      </c>
      <c r="B454" t="inlineStr">
        <is>
          <t>not_invited</t>
        </is>
      </c>
    </row>
    <row r="455">
      <c r="A455" t="inlineStr">
        <is>
          <t>CL000454</t>
        </is>
      </c>
      <c r="B455" t="inlineStr">
        <is>
          <t>not_invited</t>
        </is>
      </c>
    </row>
    <row r="456">
      <c r="A456" t="inlineStr">
        <is>
          <t>CL000455</t>
        </is>
      </c>
      <c r="B456" t="inlineStr">
        <is>
          <t>not_invited</t>
        </is>
      </c>
    </row>
    <row r="457">
      <c r="A457" t="inlineStr">
        <is>
          <t>CL000456</t>
        </is>
      </c>
      <c r="B457" t="inlineStr">
        <is>
          <t>not_invited</t>
        </is>
      </c>
    </row>
    <row r="458">
      <c r="A458" t="inlineStr">
        <is>
          <t>CL000457</t>
        </is>
      </c>
      <c r="B458" t="inlineStr">
        <is>
          <t>not_invited</t>
        </is>
      </c>
    </row>
    <row r="459">
      <c r="A459" t="inlineStr">
        <is>
          <t>CL000458</t>
        </is>
      </c>
      <c r="B459" t="inlineStr">
        <is>
          <t>not_invited</t>
        </is>
      </c>
    </row>
    <row r="460">
      <c r="A460" t="inlineStr">
        <is>
          <t>CL000459</t>
        </is>
      </c>
      <c r="B460" t="inlineStr">
        <is>
          <t>not_invited</t>
        </is>
      </c>
    </row>
    <row r="461">
      <c r="A461" t="inlineStr">
        <is>
          <t>CL000460</t>
        </is>
      </c>
      <c r="B461" t="inlineStr">
        <is>
          <t>not_invited</t>
        </is>
      </c>
    </row>
    <row r="462">
      <c r="A462" t="inlineStr">
        <is>
          <t>CL000461</t>
        </is>
      </c>
      <c r="B462" t="inlineStr">
        <is>
          <t>not_invited</t>
        </is>
      </c>
    </row>
    <row r="463">
      <c r="A463" t="inlineStr">
        <is>
          <t>CL000462</t>
        </is>
      </c>
      <c r="B463" t="inlineStr">
        <is>
          <t>not_invited</t>
        </is>
      </c>
    </row>
    <row r="464">
      <c r="A464" t="inlineStr">
        <is>
          <t>CL000463</t>
        </is>
      </c>
      <c r="B464" t="inlineStr">
        <is>
          <t>not_invited</t>
        </is>
      </c>
    </row>
    <row r="465">
      <c r="A465" t="inlineStr">
        <is>
          <t>CL000464</t>
        </is>
      </c>
      <c r="B465" t="inlineStr">
        <is>
          <t>not_invited</t>
        </is>
      </c>
    </row>
    <row r="466">
      <c r="A466" t="inlineStr">
        <is>
          <t>CL000465</t>
        </is>
      </c>
      <c r="B466" t="inlineStr">
        <is>
          <t>not_invited</t>
        </is>
      </c>
    </row>
    <row r="467">
      <c r="A467" t="inlineStr">
        <is>
          <t>CL000466</t>
        </is>
      </c>
      <c r="B467" t="inlineStr">
        <is>
          <t>not_invited</t>
        </is>
      </c>
    </row>
    <row r="468">
      <c r="A468" t="inlineStr">
        <is>
          <t>CL000467</t>
        </is>
      </c>
      <c r="B468" t="inlineStr">
        <is>
          <t>not_invited</t>
        </is>
      </c>
    </row>
    <row r="469">
      <c r="A469" t="inlineStr">
        <is>
          <t>CL000468</t>
        </is>
      </c>
      <c r="B469" t="inlineStr">
        <is>
          <t>not_invited</t>
        </is>
      </c>
    </row>
    <row r="470">
      <c r="A470" t="inlineStr">
        <is>
          <t>CL000469</t>
        </is>
      </c>
      <c r="B470" t="inlineStr">
        <is>
          <t>not_invited</t>
        </is>
      </c>
    </row>
    <row r="471">
      <c r="A471" t="inlineStr">
        <is>
          <t>CL000470</t>
        </is>
      </c>
      <c r="B471" t="inlineStr">
        <is>
          <t>not_invited</t>
        </is>
      </c>
    </row>
    <row r="472">
      <c r="A472" t="inlineStr">
        <is>
          <t>CL000471</t>
        </is>
      </c>
      <c r="B472" t="inlineStr">
        <is>
          <t>not_invited</t>
        </is>
      </c>
    </row>
    <row r="473">
      <c r="A473" t="inlineStr">
        <is>
          <t>CL000472</t>
        </is>
      </c>
      <c r="B473" t="inlineStr">
        <is>
          <t>not_invited</t>
        </is>
      </c>
    </row>
    <row r="474">
      <c r="A474" t="inlineStr">
        <is>
          <t>CL000473</t>
        </is>
      </c>
      <c r="B474" t="inlineStr">
        <is>
          <t>responded</t>
        </is>
      </c>
      <c r="C474" t="n">
        <v>0</v>
      </c>
      <c r="D474" t="n">
        <v>0</v>
      </c>
      <c r="E474" t="n">
        <v>35.29038396266813</v>
      </c>
    </row>
    <row r="475">
      <c r="A475" t="inlineStr">
        <is>
          <t>CL000474</t>
        </is>
      </c>
      <c r="B475" t="inlineStr">
        <is>
          <t>not_invited</t>
        </is>
      </c>
    </row>
    <row r="476">
      <c r="A476" t="inlineStr">
        <is>
          <t>CL000475</t>
        </is>
      </c>
      <c r="B476" t="inlineStr">
        <is>
          <t>not_invited</t>
        </is>
      </c>
    </row>
    <row r="477">
      <c r="A477" t="inlineStr">
        <is>
          <t>CL000476</t>
        </is>
      </c>
      <c r="B477" t="inlineStr">
        <is>
          <t>not_invited</t>
        </is>
      </c>
    </row>
    <row r="478">
      <c r="A478" t="inlineStr">
        <is>
          <t>CL000477</t>
        </is>
      </c>
      <c r="B478" t="inlineStr">
        <is>
          <t>not_invited</t>
        </is>
      </c>
    </row>
    <row r="479">
      <c r="A479" t="inlineStr">
        <is>
          <t>CL000478</t>
        </is>
      </c>
      <c r="B479" t="inlineStr">
        <is>
          <t>not_invited</t>
        </is>
      </c>
    </row>
    <row r="480">
      <c r="A480" t="inlineStr">
        <is>
          <t>CL000479</t>
        </is>
      </c>
      <c r="B480" t="inlineStr">
        <is>
          <t>not_invited</t>
        </is>
      </c>
    </row>
    <row r="481">
      <c r="A481" t="inlineStr">
        <is>
          <t>CL000480</t>
        </is>
      </c>
      <c r="B481" t="inlineStr">
        <is>
          <t>not_invited</t>
        </is>
      </c>
    </row>
    <row r="482">
      <c r="A482" t="inlineStr">
        <is>
          <t>CL000481</t>
        </is>
      </c>
      <c r="B482" t="inlineStr">
        <is>
          <t>not_invited</t>
        </is>
      </c>
    </row>
    <row r="483">
      <c r="A483" t="inlineStr">
        <is>
          <t>CL000482</t>
        </is>
      </c>
      <c r="B483" t="inlineStr">
        <is>
          <t>not_invited</t>
        </is>
      </c>
    </row>
    <row r="484">
      <c r="A484" t="inlineStr">
        <is>
          <t>CL000483</t>
        </is>
      </c>
      <c r="B484" t="inlineStr">
        <is>
          <t>not_invited</t>
        </is>
      </c>
    </row>
    <row r="485">
      <c r="A485" t="inlineStr">
        <is>
          <t>CL000484</t>
        </is>
      </c>
      <c r="B485" t="inlineStr">
        <is>
          <t>not_invited</t>
        </is>
      </c>
    </row>
    <row r="486">
      <c r="A486" t="inlineStr">
        <is>
          <t>CL000485</t>
        </is>
      </c>
      <c r="B486" t="inlineStr">
        <is>
          <t>not_invited</t>
        </is>
      </c>
    </row>
    <row r="487">
      <c r="A487" t="inlineStr">
        <is>
          <t>CL000486</t>
        </is>
      </c>
      <c r="B487" t="inlineStr">
        <is>
          <t>not_invited</t>
        </is>
      </c>
    </row>
    <row r="488">
      <c r="A488" t="inlineStr">
        <is>
          <t>CL000487</t>
        </is>
      </c>
      <c r="B488" t="inlineStr">
        <is>
          <t>not_invited</t>
        </is>
      </c>
    </row>
    <row r="489">
      <c r="A489" t="inlineStr">
        <is>
          <t>CL000488</t>
        </is>
      </c>
      <c r="B489" t="inlineStr">
        <is>
          <t>not_invited</t>
        </is>
      </c>
    </row>
    <row r="490">
      <c r="A490" t="inlineStr">
        <is>
          <t>CL000489</t>
        </is>
      </c>
      <c r="B490" t="inlineStr">
        <is>
          <t>not_invited</t>
        </is>
      </c>
    </row>
    <row r="491">
      <c r="A491" t="inlineStr">
        <is>
          <t>CL000490</t>
        </is>
      </c>
      <c r="B491" t="inlineStr">
        <is>
          <t>not_invited</t>
        </is>
      </c>
    </row>
    <row r="492">
      <c r="A492" t="inlineStr">
        <is>
          <t>CL000491</t>
        </is>
      </c>
      <c r="B492" t="inlineStr">
        <is>
          <t>not_invited</t>
        </is>
      </c>
    </row>
    <row r="493">
      <c r="A493" t="inlineStr">
        <is>
          <t>CL000492</t>
        </is>
      </c>
      <c r="B493" t="inlineStr">
        <is>
          <t>not_invited</t>
        </is>
      </c>
    </row>
    <row r="494">
      <c r="A494" t="inlineStr">
        <is>
          <t>CL000493</t>
        </is>
      </c>
      <c r="B494" t="inlineStr">
        <is>
          <t>not_invited</t>
        </is>
      </c>
    </row>
    <row r="495">
      <c r="A495" t="inlineStr">
        <is>
          <t>CL000494</t>
        </is>
      </c>
      <c r="B495" t="inlineStr">
        <is>
          <t>not_invited</t>
        </is>
      </c>
    </row>
    <row r="496">
      <c r="A496" t="inlineStr">
        <is>
          <t>CL000495</t>
        </is>
      </c>
      <c r="B496" t="inlineStr">
        <is>
          <t>not_invited</t>
        </is>
      </c>
    </row>
    <row r="497">
      <c r="A497" t="inlineStr">
        <is>
          <t>CL000496</t>
        </is>
      </c>
      <c r="B497" t="inlineStr">
        <is>
          <t>not_invited</t>
        </is>
      </c>
    </row>
    <row r="498">
      <c r="A498" t="inlineStr">
        <is>
          <t>CL000497</t>
        </is>
      </c>
      <c r="B498" t="inlineStr">
        <is>
          <t>not_invited</t>
        </is>
      </c>
    </row>
    <row r="499">
      <c r="A499" t="inlineStr">
        <is>
          <t>CL000498</t>
        </is>
      </c>
      <c r="B499" t="inlineStr">
        <is>
          <t>not_invited</t>
        </is>
      </c>
    </row>
    <row r="500">
      <c r="A500" t="inlineStr">
        <is>
          <t>CL000499</t>
        </is>
      </c>
      <c r="B500" t="inlineStr">
        <is>
          <t>not_invited</t>
        </is>
      </c>
    </row>
    <row r="501">
      <c r="A501" t="inlineStr">
        <is>
          <t>CL000500</t>
        </is>
      </c>
      <c r="B501" t="inlineStr">
        <is>
          <t>not_invited</t>
        </is>
      </c>
    </row>
    <row r="502">
      <c r="A502" t="inlineStr">
        <is>
          <t>CL000501</t>
        </is>
      </c>
      <c r="B502" t="inlineStr">
        <is>
          <t>not_invited</t>
        </is>
      </c>
    </row>
    <row r="503">
      <c r="A503" t="inlineStr">
        <is>
          <t>CL000502</t>
        </is>
      </c>
      <c r="B503" t="inlineStr">
        <is>
          <t>not_invited</t>
        </is>
      </c>
    </row>
    <row r="504">
      <c r="A504" t="inlineStr">
        <is>
          <t>CL000503</t>
        </is>
      </c>
      <c r="B504" t="inlineStr">
        <is>
          <t>responded</t>
        </is>
      </c>
      <c r="C504" t="n">
        <v>0</v>
      </c>
      <c r="D504" t="n">
        <v>0</v>
      </c>
      <c r="E504" t="n">
        <v>35.29038396266813</v>
      </c>
    </row>
    <row r="505">
      <c r="A505" t="inlineStr">
        <is>
          <t>CL000504</t>
        </is>
      </c>
      <c r="B505" t="inlineStr">
        <is>
          <t>not_invited</t>
        </is>
      </c>
    </row>
    <row r="506">
      <c r="A506" t="inlineStr">
        <is>
          <t>CL000505</t>
        </is>
      </c>
      <c r="B506" t="inlineStr">
        <is>
          <t>not_invited</t>
        </is>
      </c>
    </row>
    <row r="507">
      <c r="A507" t="inlineStr">
        <is>
          <t>CL000506</t>
        </is>
      </c>
      <c r="B507" t="inlineStr">
        <is>
          <t>not_invited</t>
        </is>
      </c>
    </row>
    <row r="508">
      <c r="A508" t="inlineStr">
        <is>
          <t>CL000507</t>
        </is>
      </c>
      <c r="B508" t="inlineStr">
        <is>
          <t>not_invited</t>
        </is>
      </c>
    </row>
    <row r="509">
      <c r="A509" t="inlineStr">
        <is>
          <t>CL000508</t>
        </is>
      </c>
      <c r="B509" t="inlineStr">
        <is>
          <t>not_invited</t>
        </is>
      </c>
    </row>
    <row r="510">
      <c r="A510" t="inlineStr">
        <is>
          <t>CL000509</t>
        </is>
      </c>
      <c r="B510" t="inlineStr">
        <is>
          <t>not_invited</t>
        </is>
      </c>
    </row>
    <row r="511">
      <c r="A511" t="inlineStr">
        <is>
          <t>CL000510</t>
        </is>
      </c>
      <c r="B511" t="inlineStr">
        <is>
          <t>not_invited</t>
        </is>
      </c>
    </row>
    <row r="512">
      <c r="A512" t="inlineStr">
        <is>
          <t>CL000511</t>
        </is>
      </c>
      <c r="B512" t="inlineStr">
        <is>
          <t>not_invited</t>
        </is>
      </c>
    </row>
    <row r="513">
      <c r="A513" t="inlineStr">
        <is>
          <t>CL000512</t>
        </is>
      </c>
      <c r="B513" t="inlineStr">
        <is>
          <t>not_invited</t>
        </is>
      </c>
    </row>
    <row r="514">
      <c r="A514" t="inlineStr">
        <is>
          <t>CL000513</t>
        </is>
      </c>
      <c r="B514" t="inlineStr">
        <is>
          <t>not_invited</t>
        </is>
      </c>
    </row>
    <row r="515">
      <c r="A515" t="inlineStr">
        <is>
          <t>CL000514</t>
        </is>
      </c>
      <c r="B515" t="inlineStr">
        <is>
          <t>not_invited</t>
        </is>
      </c>
    </row>
    <row r="516">
      <c r="A516" t="inlineStr">
        <is>
          <t>CL000515</t>
        </is>
      </c>
      <c r="B516" t="inlineStr">
        <is>
          <t>not_invited</t>
        </is>
      </c>
    </row>
    <row r="517">
      <c r="A517" t="inlineStr">
        <is>
          <t>CL000516</t>
        </is>
      </c>
      <c r="B517" t="inlineStr">
        <is>
          <t>not_invited</t>
        </is>
      </c>
    </row>
    <row r="518">
      <c r="A518" t="inlineStr">
        <is>
          <t>CL000517</t>
        </is>
      </c>
      <c r="B518" t="inlineStr">
        <is>
          <t>not_invited</t>
        </is>
      </c>
    </row>
    <row r="519">
      <c r="A519" t="inlineStr">
        <is>
          <t>CL000518</t>
        </is>
      </c>
      <c r="B519" t="inlineStr">
        <is>
          <t>not_invited</t>
        </is>
      </c>
    </row>
    <row r="520">
      <c r="A520" t="inlineStr">
        <is>
          <t>CL000519</t>
        </is>
      </c>
      <c r="B520" t="inlineStr">
        <is>
          <t>not_invited</t>
        </is>
      </c>
    </row>
    <row r="521">
      <c r="A521" t="inlineStr">
        <is>
          <t>CL000520</t>
        </is>
      </c>
      <c r="B521" t="inlineStr">
        <is>
          <t>not_invited</t>
        </is>
      </c>
    </row>
    <row r="522">
      <c r="A522" t="inlineStr">
        <is>
          <t>CL000521</t>
        </is>
      </c>
      <c r="B522" t="inlineStr">
        <is>
          <t>not_invited</t>
        </is>
      </c>
    </row>
    <row r="523">
      <c r="A523" t="inlineStr">
        <is>
          <t>CL000522</t>
        </is>
      </c>
      <c r="B523" t="inlineStr">
        <is>
          <t>not_invited</t>
        </is>
      </c>
    </row>
    <row r="524">
      <c r="A524" t="inlineStr">
        <is>
          <t>CL000523</t>
        </is>
      </c>
      <c r="B524" t="inlineStr">
        <is>
          <t>responded</t>
        </is>
      </c>
      <c r="C524" t="n">
        <v>0</v>
      </c>
      <c r="D524" t="n">
        <v>0</v>
      </c>
      <c r="E524" t="n">
        <v>35.29038396266813</v>
      </c>
    </row>
    <row r="525">
      <c r="A525" t="inlineStr">
        <is>
          <t>CL000524</t>
        </is>
      </c>
      <c r="B525" t="inlineStr">
        <is>
          <t>responded</t>
        </is>
      </c>
      <c r="C525" t="n">
        <v>0</v>
      </c>
      <c r="D525" t="n">
        <v>0</v>
      </c>
      <c r="E525" t="n">
        <v>35.29038396266813</v>
      </c>
    </row>
    <row r="526">
      <c r="A526" t="inlineStr">
        <is>
          <t>CL000525</t>
        </is>
      </c>
      <c r="B526" t="inlineStr">
        <is>
          <t>not_invited</t>
        </is>
      </c>
    </row>
    <row r="527">
      <c r="A527" t="inlineStr">
        <is>
          <t>CL000526</t>
        </is>
      </c>
      <c r="B527" t="inlineStr">
        <is>
          <t>not_invited</t>
        </is>
      </c>
    </row>
    <row r="528">
      <c r="A528" t="inlineStr">
        <is>
          <t>CL000527</t>
        </is>
      </c>
      <c r="B528" t="inlineStr">
        <is>
          <t>not_invited</t>
        </is>
      </c>
    </row>
    <row r="529">
      <c r="A529" t="inlineStr">
        <is>
          <t>CL000528</t>
        </is>
      </c>
      <c r="B529" t="inlineStr">
        <is>
          <t>not_invited</t>
        </is>
      </c>
    </row>
    <row r="530">
      <c r="A530" t="inlineStr">
        <is>
          <t>CL000529</t>
        </is>
      </c>
      <c r="B530" t="inlineStr">
        <is>
          <t>not_invited</t>
        </is>
      </c>
    </row>
    <row r="531">
      <c r="A531" t="inlineStr">
        <is>
          <t>CL000530</t>
        </is>
      </c>
      <c r="B531" t="inlineStr">
        <is>
          <t>not_invited</t>
        </is>
      </c>
    </row>
    <row r="532">
      <c r="A532" t="inlineStr">
        <is>
          <t>CL000531</t>
        </is>
      </c>
      <c r="B532" t="inlineStr">
        <is>
          <t>not_invited</t>
        </is>
      </c>
    </row>
    <row r="533">
      <c r="A533" t="inlineStr">
        <is>
          <t>CL000532</t>
        </is>
      </c>
      <c r="B533" t="inlineStr">
        <is>
          <t>nonresponse</t>
        </is>
      </c>
    </row>
    <row r="534">
      <c r="A534" t="inlineStr">
        <is>
          <t>CL000533</t>
        </is>
      </c>
      <c r="B534" t="inlineStr">
        <is>
          <t>not_invited</t>
        </is>
      </c>
    </row>
    <row r="535">
      <c r="A535" t="inlineStr">
        <is>
          <t>CL000534</t>
        </is>
      </c>
      <c r="B535" t="inlineStr">
        <is>
          <t>not_invited</t>
        </is>
      </c>
    </row>
    <row r="536">
      <c r="A536" t="inlineStr">
        <is>
          <t>CL000535</t>
        </is>
      </c>
      <c r="B536" t="inlineStr">
        <is>
          <t>not_invited</t>
        </is>
      </c>
    </row>
    <row r="537">
      <c r="A537" t="inlineStr">
        <is>
          <t>CL000536</t>
        </is>
      </c>
      <c r="B537" t="inlineStr">
        <is>
          <t>not_invited</t>
        </is>
      </c>
    </row>
    <row r="538">
      <c r="A538" t="inlineStr">
        <is>
          <t>CL000537</t>
        </is>
      </c>
      <c r="B538" t="inlineStr">
        <is>
          <t>not_invited</t>
        </is>
      </c>
    </row>
    <row r="539">
      <c r="A539" t="inlineStr">
        <is>
          <t>CL000538</t>
        </is>
      </c>
      <c r="B539" t="inlineStr">
        <is>
          <t>responded</t>
        </is>
      </c>
      <c r="C539" t="n">
        <v>0</v>
      </c>
      <c r="D539" t="n">
        <v>0</v>
      </c>
      <c r="E539" t="n">
        <v>35.29038396266813</v>
      </c>
    </row>
    <row r="540">
      <c r="A540" t="inlineStr">
        <is>
          <t>CL000539</t>
        </is>
      </c>
      <c r="B540" t="inlineStr">
        <is>
          <t>not_invited</t>
        </is>
      </c>
    </row>
    <row r="541">
      <c r="A541" t="inlineStr">
        <is>
          <t>CL000540</t>
        </is>
      </c>
      <c r="B541" t="inlineStr">
        <is>
          <t>not_invited</t>
        </is>
      </c>
    </row>
    <row r="542">
      <c r="A542" t="inlineStr">
        <is>
          <t>CL000541</t>
        </is>
      </c>
      <c r="B542" t="inlineStr">
        <is>
          <t>not_invited</t>
        </is>
      </c>
    </row>
    <row r="543">
      <c r="A543" t="inlineStr">
        <is>
          <t>CL000542</t>
        </is>
      </c>
      <c r="B543" t="inlineStr">
        <is>
          <t>not_invited</t>
        </is>
      </c>
    </row>
    <row r="544">
      <c r="A544" t="inlineStr">
        <is>
          <t>CL000543</t>
        </is>
      </c>
      <c r="B544" t="inlineStr">
        <is>
          <t>not_invited</t>
        </is>
      </c>
    </row>
    <row r="545">
      <c r="A545" t="inlineStr">
        <is>
          <t>CL000544</t>
        </is>
      </c>
      <c r="B545" t="inlineStr">
        <is>
          <t>nonresponse</t>
        </is>
      </c>
    </row>
    <row r="546">
      <c r="A546" t="inlineStr">
        <is>
          <t>CL000545</t>
        </is>
      </c>
      <c r="B546" t="inlineStr">
        <is>
          <t>not_invited</t>
        </is>
      </c>
    </row>
    <row r="547">
      <c r="A547" t="inlineStr">
        <is>
          <t>CL000546</t>
        </is>
      </c>
      <c r="B547" t="inlineStr">
        <is>
          <t>not_invited</t>
        </is>
      </c>
    </row>
    <row r="548">
      <c r="A548" t="inlineStr">
        <is>
          <t>CL000547</t>
        </is>
      </c>
      <c r="B548" t="inlineStr">
        <is>
          <t>not_invited</t>
        </is>
      </c>
    </row>
    <row r="549">
      <c r="A549" t="inlineStr">
        <is>
          <t>CL000548</t>
        </is>
      </c>
      <c r="B549" t="inlineStr">
        <is>
          <t>not_invited</t>
        </is>
      </c>
    </row>
    <row r="550">
      <c r="A550" t="inlineStr">
        <is>
          <t>CL000549</t>
        </is>
      </c>
      <c r="B550" t="inlineStr">
        <is>
          <t>not_invited</t>
        </is>
      </c>
    </row>
    <row r="551">
      <c r="A551" t="inlineStr">
        <is>
          <t>CL000550</t>
        </is>
      </c>
      <c r="B551" t="inlineStr">
        <is>
          <t>not_invited</t>
        </is>
      </c>
    </row>
    <row r="552">
      <c r="A552" t="inlineStr">
        <is>
          <t>CL000551</t>
        </is>
      </c>
      <c r="B552" t="inlineStr">
        <is>
          <t>not_invited</t>
        </is>
      </c>
    </row>
    <row r="553">
      <c r="A553" t="inlineStr">
        <is>
          <t>CL000552</t>
        </is>
      </c>
      <c r="B553" t="inlineStr">
        <is>
          <t>not_invited</t>
        </is>
      </c>
    </row>
    <row r="554">
      <c r="A554" t="inlineStr">
        <is>
          <t>CL000553</t>
        </is>
      </c>
      <c r="B554" t="inlineStr">
        <is>
          <t>not_invited</t>
        </is>
      </c>
    </row>
    <row r="555">
      <c r="A555" t="inlineStr">
        <is>
          <t>CL000554</t>
        </is>
      </c>
      <c r="B555" t="inlineStr">
        <is>
          <t>not_invited</t>
        </is>
      </c>
    </row>
    <row r="556">
      <c r="A556" t="inlineStr">
        <is>
          <t>CL000555</t>
        </is>
      </c>
      <c r="B556" t="inlineStr">
        <is>
          <t>not_invited</t>
        </is>
      </c>
    </row>
    <row r="557">
      <c r="A557" t="inlineStr">
        <is>
          <t>CL000556</t>
        </is>
      </c>
      <c r="B557" t="inlineStr">
        <is>
          <t>nonresponse</t>
        </is>
      </c>
    </row>
    <row r="558">
      <c r="A558" t="inlineStr">
        <is>
          <t>CL000557</t>
        </is>
      </c>
      <c r="B558" t="inlineStr">
        <is>
          <t>not_invited</t>
        </is>
      </c>
    </row>
    <row r="559">
      <c r="A559" t="inlineStr">
        <is>
          <t>CL000558</t>
        </is>
      </c>
      <c r="B559" t="inlineStr">
        <is>
          <t>not_invited</t>
        </is>
      </c>
    </row>
    <row r="560">
      <c r="A560" t="inlineStr">
        <is>
          <t>CL000559</t>
        </is>
      </c>
      <c r="B560" t="inlineStr">
        <is>
          <t>not_invited</t>
        </is>
      </c>
    </row>
    <row r="561">
      <c r="A561" t="inlineStr">
        <is>
          <t>CL000560</t>
        </is>
      </c>
      <c r="B561" t="inlineStr">
        <is>
          <t>not_invited</t>
        </is>
      </c>
    </row>
    <row r="562">
      <c r="A562" t="inlineStr">
        <is>
          <t>CL000561</t>
        </is>
      </c>
      <c r="B562" t="inlineStr">
        <is>
          <t>not_invited</t>
        </is>
      </c>
    </row>
    <row r="563">
      <c r="A563" t="inlineStr">
        <is>
          <t>CL000562</t>
        </is>
      </c>
      <c r="B563" t="inlineStr">
        <is>
          <t>not_invited</t>
        </is>
      </c>
    </row>
    <row r="564">
      <c r="A564" t="inlineStr">
        <is>
          <t>CL000563</t>
        </is>
      </c>
      <c r="B564" t="inlineStr">
        <is>
          <t>not_invited</t>
        </is>
      </c>
    </row>
    <row r="565">
      <c r="A565" t="inlineStr">
        <is>
          <t>CL000564</t>
        </is>
      </c>
      <c r="B565" t="inlineStr">
        <is>
          <t>not_invited</t>
        </is>
      </c>
    </row>
    <row r="566">
      <c r="A566" t="inlineStr">
        <is>
          <t>CL000565</t>
        </is>
      </c>
      <c r="B566" t="inlineStr">
        <is>
          <t>not_invited</t>
        </is>
      </c>
    </row>
    <row r="567">
      <c r="A567" t="inlineStr">
        <is>
          <t>CL000566</t>
        </is>
      </c>
      <c r="B567" t="inlineStr">
        <is>
          <t>not_invited</t>
        </is>
      </c>
    </row>
    <row r="568">
      <c r="A568" t="inlineStr">
        <is>
          <t>CL000567</t>
        </is>
      </c>
      <c r="B568" t="inlineStr">
        <is>
          <t>not_invited</t>
        </is>
      </c>
    </row>
    <row r="569">
      <c r="A569" t="inlineStr">
        <is>
          <t>CL000568</t>
        </is>
      </c>
      <c r="B569" t="inlineStr">
        <is>
          <t>not_invited</t>
        </is>
      </c>
    </row>
    <row r="570">
      <c r="A570" t="inlineStr">
        <is>
          <t>CL000569</t>
        </is>
      </c>
      <c r="B570" t="inlineStr">
        <is>
          <t>not_invited</t>
        </is>
      </c>
    </row>
    <row r="571">
      <c r="A571" t="inlineStr">
        <is>
          <t>CL000570</t>
        </is>
      </c>
      <c r="B571" t="inlineStr">
        <is>
          <t>not_invited</t>
        </is>
      </c>
    </row>
    <row r="572">
      <c r="A572" t="inlineStr">
        <is>
          <t>CL000571</t>
        </is>
      </c>
      <c r="B572" t="inlineStr">
        <is>
          <t>not_invited</t>
        </is>
      </c>
    </row>
    <row r="573">
      <c r="A573" t="inlineStr">
        <is>
          <t>CL000572</t>
        </is>
      </c>
      <c r="B573" t="inlineStr">
        <is>
          <t>not_invited</t>
        </is>
      </c>
    </row>
    <row r="574">
      <c r="A574" t="inlineStr">
        <is>
          <t>CL000573</t>
        </is>
      </c>
      <c r="B574" t="inlineStr">
        <is>
          <t>not_invited</t>
        </is>
      </c>
    </row>
    <row r="575">
      <c r="A575" t="inlineStr">
        <is>
          <t>CL000574</t>
        </is>
      </c>
      <c r="B575" t="inlineStr">
        <is>
          <t>not_invited</t>
        </is>
      </c>
    </row>
    <row r="576">
      <c r="A576" t="inlineStr">
        <is>
          <t>CL000575</t>
        </is>
      </c>
      <c r="B576" t="inlineStr">
        <is>
          <t>not_invited</t>
        </is>
      </c>
    </row>
    <row r="577">
      <c r="A577" t="inlineStr">
        <is>
          <t>CL000576</t>
        </is>
      </c>
      <c r="B577" t="inlineStr">
        <is>
          <t>not_invited</t>
        </is>
      </c>
    </row>
    <row r="578">
      <c r="A578" t="inlineStr">
        <is>
          <t>CL000577</t>
        </is>
      </c>
      <c r="B578" t="inlineStr">
        <is>
          <t>not_invited</t>
        </is>
      </c>
    </row>
    <row r="579">
      <c r="A579" t="inlineStr">
        <is>
          <t>CL000578</t>
        </is>
      </c>
      <c r="B579" t="inlineStr">
        <is>
          <t>not_invited</t>
        </is>
      </c>
    </row>
    <row r="580">
      <c r="A580" t="inlineStr">
        <is>
          <t>CL000579</t>
        </is>
      </c>
      <c r="B580" t="inlineStr">
        <is>
          <t>not_invited</t>
        </is>
      </c>
    </row>
    <row r="581">
      <c r="A581" t="inlineStr">
        <is>
          <t>CL000580</t>
        </is>
      </c>
      <c r="B581" t="inlineStr">
        <is>
          <t>not_invited</t>
        </is>
      </c>
    </row>
    <row r="582">
      <c r="A582" t="inlineStr">
        <is>
          <t>CL000581</t>
        </is>
      </c>
      <c r="B582" t="inlineStr">
        <is>
          <t>not_invited</t>
        </is>
      </c>
    </row>
    <row r="583">
      <c r="A583" t="inlineStr">
        <is>
          <t>CL000582</t>
        </is>
      </c>
      <c r="B583" t="inlineStr">
        <is>
          <t>not_invited</t>
        </is>
      </c>
    </row>
    <row r="584">
      <c r="A584" t="inlineStr">
        <is>
          <t>CL000583</t>
        </is>
      </c>
      <c r="B584" t="inlineStr">
        <is>
          <t>not_invited</t>
        </is>
      </c>
    </row>
    <row r="585">
      <c r="A585" t="inlineStr">
        <is>
          <t>CL000584</t>
        </is>
      </c>
      <c r="B585" t="inlineStr">
        <is>
          <t>not_invited</t>
        </is>
      </c>
    </row>
    <row r="586">
      <c r="A586" t="inlineStr">
        <is>
          <t>CL000585</t>
        </is>
      </c>
      <c r="B586" t="inlineStr">
        <is>
          <t>not_invited</t>
        </is>
      </c>
    </row>
    <row r="587">
      <c r="A587" t="inlineStr">
        <is>
          <t>CL000586</t>
        </is>
      </c>
      <c r="B587" t="inlineStr">
        <is>
          <t>responded</t>
        </is>
      </c>
      <c r="C587" t="n">
        <v>0</v>
      </c>
      <c r="D587" t="n">
        <v>0</v>
      </c>
      <c r="E587" t="n">
        <v>35.29038396266813</v>
      </c>
    </row>
    <row r="588">
      <c r="A588" t="inlineStr">
        <is>
          <t>CL000587</t>
        </is>
      </c>
      <c r="B588" t="inlineStr">
        <is>
          <t>not_invited</t>
        </is>
      </c>
    </row>
    <row r="589">
      <c r="A589" t="inlineStr">
        <is>
          <t>CL000588</t>
        </is>
      </c>
      <c r="B589" t="inlineStr">
        <is>
          <t>not_invited</t>
        </is>
      </c>
    </row>
    <row r="590">
      <c r="A590" t="inlineStr">
        <is>
          <t>CL000589</t>
        </is>
      </c>
      <c r="B590" t="inlineStr">
        <is>
          <t>not_invited</t>
        </is>
      </c>
    </row>
    <row r="591">
      <c r="A591" t="inlineStr">
        <is>
          <t>CL000590</t>
        </is>
      </c>
      <c r="B591" t="inlineStr">
        <is>
          <t>not_invited</t>
        </is>
      </c>
    </row>
    <row r="592">
      <c r="A592" t="inlineStr">
        <is>
          <t>CL000591</t>
        </is>
      </c>
      <c r="B592" t="inlineStr">
        <is>
          <t>not_invited</t>
        </is>
      </c>
    </row>
    <row r="593">
      <c r="A593" t="inlineStr">
        <is>
          <t>CL000592</t>
        </is>
      </c>
      <c r="B593" t="inlineStr">
        <is>
          <t>not_invited</t>
        </is>
      </c>
    </row>
    <row r="594">
      <c r="A594" t="inlineStr">
        <is>
          <t>CL000593</t>
        </is>
      </c>
      <c r="B594" t="inlineStr">
        <is>
          <t>not_invited</t>
        </is>
      </c>
    </row>
    <row r="595">
      <c r="A595" t="inlineStr">
        <is>
          <t>CL000594</t>
        </is>
      </c>
      <c r="B595" t="inlineStr">
        <is>
          <t>not_invited</t>
        </is>
      </c>
    </row>
    <row r="596">
      <c r="A596" t="inlineStr">
        <is>
          <t>CL000595</t>
        </is>
      </c>
      <c r="B596" t="inlineStr">
        <is>
          <t>not_invited</t>
        </is>
      </c>
    </row>
    <row r="597">
      <c r="A597" t="inlineStr">
        <is>
          <t>CL000596</t>
        </is>
      </c>
      <c r="B597" t="inlineStr">
        <is>
          <t>not_invited</t>
        </is>
      </c>
    </row>
    <row r="598">
      <c r="A598" t="inlineStr">
        <is>
          <t>CL000597</t>
        </is>
      </c>
      <c r="B598" t="inlineStr">
        <is>
          <t>not_invited</t>
        </is>
      </c>
    </row>
    <row r="599">
      <c r="A599" t="inlineStr">
        <is>
          <t>CL000598</t>
        </is>
      </c>
      <c r="B599" t="inlineStr">
        <is>
          <t>not_invited</t>
        </is>
      </c>
    </row>
    <row r="600">
      <c r="A600" t="inlineStr">
        <is>
          <t>CL000599</t>
        </is>
      </c>
      <c r="B600" t="inlineStr">
        <is>
          <t>not_invited</t>
        </is>
      </c>
    </row>
    <row r="601">
      <c r="A601" t="inlineStr">
        <is>
          <t>CL000600</t>
        </is>
      </c>
      <c r="B601" t="inlineStr">
        <is>
          <t>not_invited</t>
        </is>
      </c>
    </row>
    <row r="602">
      <c r="A602" t="inlineStr">
        <is>
          <t>CL000601</t>
        </is>
      </c>
      <c r="B602" t="inlineStr">
        <is>
          <t>not_invited</t>
        </is>
      </c>
    </row>
    <row r="603">
      <c r="A603" t="inlineStr">
        <is>
          <t>CL000602</t>
        </is>
      </c>
      <c r="B603" t="inlineStr">
        <is>
          <t>not_invited</t>
        </is>
      </c>
    </row>
    <row r="604">
      <c r="A604" t="inlineStr">
        <is>
          <t>CL000603</t>
        </is>
      </c>
      <c r="B604" t="inlineStr">
        <is>
          <t>not_invited</t>
        </is>
      </c>
    </row>
    <row r="605">
      <c r="A605" t="inlineStr">
        <is>
          <t>CL000604</t>
        </is>
      </c>
      <c r="B605" t="inlineStr">
        <is>
          <t>not_invited</t>
        </is>
      </c>
    </row>
    <row r="606">
      <c r="A606" t="inlineStr">
        <is>
          <t>CL000605</t>
        </is>
      </c>
      <c r="B606" t="inlineStr">
        <is>
          <t>not_invited</t>
        </is>
      </c>
    </row>
    <row r="607">
      <c r="A607" t="inlineStr">
        <is>
          <t>CL000606</t>
        </is>
      </c>
      <c r="B607" t="inlineStr">
        <is>
          <t>not_invited</t>
        </is>
      </c>
    </row>
    <row r="608">
      <c r="A608" t="inlineStr">
        <is>
          <t>CL000607</t>
        </is>
      </c>
      <c r="B608" t="inlineStr">
        <is>
          <t>not_invited</t>
        </is>
      </c>
    </row>
    <row r="609">
      <c r="A609" t="inlineStr">
        <is>
          <t>CL000608</t>
        </is>
      </c>
      <c r="B609" t="inlineStr">
        <is>
          <t>not_invited</t>
        </is>
      </c>
    </row>
    <row r="610">
      <c r="A610" t="inlineStr">
        <is>
          <t>CL000609</t>
        </is>
      </c>
      <c r="B610" t="inlineStr">
        <is>
          <t>not_invited</t>
        </is>
      </c>
    </row>
    <row r="611">
      <c r="A611" t="inlineStr">
        <is>
          <t>CL000610</t>
        </is>
      </c>
      <c r="B611" t="inlineStr">
        <is>
          <t>not_invited</t>
        </is>
      </c>
    </row>
    <row r="612">
      <c r="A612" t="inlineStr">
        <is>
          <t>CL000611</t>
        </is>
      </c>
      <c r="B612" t="inlineStr">
        <is>
          <t>not_invited</t>
        </is>
      </c>
    </row>
    <row r="613">
      <c r="A613" t="inlineStr">
        <is>
          <t>CL000612</t>
        </is>
      </c>
      <c r="B613" t="inlineStr">
        <is>
          <t>not_invited</t>
        </is>
      </c>
    </row>
    <row r="614">
      <c r="A614" t="inlineStr">
        <is>
          <t>CL000613</t>
        </is>
      </c>
      <c r="B614" t="inlineStr">
        <is>
          <t>not_invited</t>
        </is>
      </c>
    </row>
    <row r="615">
      <c r="A615" t="inlineStr">
        <is>
          <t>CL000614</t>
        </is>
      </c>
      <c r="B615" t="inlineStr">
        <is>
          <t>not_invited</t>
        </is>
      </c>
    </row>
    <row r="616">
      <c r="A616" t="inlineStr">
        <is>
          <t>CL000615</t>
        </is>
      </c>
      <c r="B616" t="inlineStr">
        <is>
          <t>responded</t>
        </is>
      </c>
      <c r="C616" t="n">
        <v>0</v>
      </c>
      <c r="D616" t="n">
        <v>0</v>
      </c>
      <c r="E616" t="n">
        <v>35.29038396266813</v>
      </c>
    </row>
    <row r="617">
      <c r="A617" t="inlineStr">
        <is>
          <t>CL000616</t>
        </is>
      </c>
      <c r="B617" t="inlineStr">
        <is>
          <t>not_invited</t>
        </is>
      </c>
    </row>
    <row r="618">
      <c r="A618" t="inlineStr">
        <is>
          <t>CL000617</t>
        </is>
      </c>
      <c r="B618" t="inlineStr">
        <is>
          <t>not_invited</t>
        </is>
      </c>
    </row>
    <row r="619">
      <c r="A619" t="inlineStr">
        <is>
          <t>CL000618</t>
        </is>
      </c>
      <c r="B619" t="inlineStr">
        <is>
          <t>not_invited</t>
        </is>
      </c>
    </row>
    <row r="620">
      <c r="A620" t="inlineStr">
        <is>
          <t>CL000619</t>
        </is>
      </c>
      <c r="B620" t="inlineStr">
        <is>
          <t>not_invited</t>
        </is>
      </c>
    </row>
    <row r="621">
      <c r="A621" t="inlineStr">
        <is>
          <t>CL000620</t>
        </is>
      </c>
      <c r="B621" t="inlineStr">
        <is>
          <t>not_invited</t>
        </is>
      </c>
    </row>
    <row r="622">
      <c r="A622" t="inlineStr">
        <is>
          <t>CL000621</t>
        </is>
      </c>
      <c r="B622" t="inlineStr">
        <is>
          <t>not_invited</t>
        </is>
      </c>
    </row>
    <row r="623">
      <c r="A623" t="inlineStr">
        <is>
          <t>CL000622</t>
        </is>
      </c>
      <c r="B623" t="inlineStr">
        <is>
          <t>not_invited</t>
        </is>
      </c>
    </row>
    <row r="624">
      <c r="A624" t="inlineStr">
        <is>
          <t>CL000623</t>
        </is>
      </c>
      <c r="B624" t="inlineStr">
        <is>
          <t>not_invited</t>
        </is>
      </c>
    </row>
    <row r="625">
      <c r="A625" t="inlineStr">
        <is>
          <t>CL000624</t>
        </is>
      </c>
      <c r="B625" t="inlineStr">
        <is>
          <t>not_invited</t>
        </is>
      </c>
    </row>
    <row r="626">
      <c r="A626" t="inlineStr">
        <is>
          <t>CL000625</t>
        </is>
      </c>
      <c r="B626" t="inlineStr">
        <is>
          <t>not_invited</t>
        </is>
      </c>
    </row>
    <row r="627">
      <c r="A627" t="inlineStr">
        <is>
          <t>CL000626</t>
        </is>
      </c>
      <c r="B627" t="inlineStr">
        <is>
          <t>not_invited</t>
        </is>
      </c>
    </row>
    <row r="628">
      <c r="A628" t="inlineStr">
        <is>
          <t>CL000627</t>
        </is>
      </c>
      <c r="B628" t="inlineStr">
        <is>
          <t>not_invited</t>
        </is>
      </c>
    </row>
    <row r="629">
      <c r="A629" t="inlineStr">
        <is>
          <t>CL000628</t>
        </is>
      </c>
      <c r="B629" t="inlineStr">
        <is>
          <t>not_invited</t>
        </is>
      </c>
    </row>
    <row r="630">
      <c r="A630" t="inlineStr">
        <is>
          <t>CL000629</t>
        </is>
      </c>
      <c r="B630" t="inlineStr">
        <is>
          <t>not_invited</t>
        </is>
      </c>
    </row>
    <row r="631">
      <c r="A631" t="inlineStr">
        <is>
          <t>CL000630</t>
        </is>
      </c>
      <c r="B631" t="inlineStr">
        <is>
          <t>not_invited</t>
        </is>
      </c>
    </row>
    <row r="632">
      <c r="A632" t="inlineStr">
        <is>
          <t>CL000631</t>
        </is>
      </c>
      <c r="B632" t="inlineStr">
        <is>
          <t>not_invited</t>
        </is>
      </c>
    </row>
    <row r="633">
      <c r="A633" t="inlineStr">
        <is>
          <t>CL000632</t>
        </is>
      </c>
      <c r="B633" t="inlineStr">
        <is>
          <t>not_invited</t>
        </is>
      </c>
    </row>
    <row r="634">
      <c r="A634" t="inlineStr">
        <is>
          <t>CL000633</t>
        </is>
      </c>
      <c r="B634" t="inlineStr">
        <is>
          <t>not_invited</t>
        </is>
      </c>
    </row>
    <row r="635">
      <c r="A635" t="inlineStr">
        <is>
          <t>CL000634</t>
        </is>
      </c>
      <c r="B635" t="inlineStr">
        <is>
          <t>not_invited</t>
        </is>
      </c>
    </row>
    <row r="636">
      <c r="A636" t="inlineStr">
        <is>
          <t>CL000635</t>
        </is>
      </c>
      <c r="B636" t="inlineStr">
        <is>
          <t>not_invited</t>
        </is>
      </c>
    </row>
    <row r="637">
      <c r="A637" t="inlineStr">
        <is>
          <t>CL000636</t>
        </is>
      </c>
      <c r="B637" t="inlineStr">
        <is>
          <t>not_invited</t>
        </is>
      </c>
    </row>
    <row r="638">
      <c r="A638" t="inlineStr">
        <is>
          <t>CL000637</t>
        </is>
      </c>
      <c r="B638" t="inlineStr">
        <is>
          <t>not_invited</t>
        </is>
      </c>
    </row>
    <row r="639">
      <c r="A639" t="inlineStr">
        <is>
          <t>CL000638</t>
        </is>
      </c>
      <c r="B639" t="inlineStr">
        <is>
          <t>not_invited</t>
        </is>
      </c>
    </row>
    <row r="640">
      <c r="A640" t="inlineStr">
        <is>
          <t>CL000639</t>
        </is>
      </c>
      <c r="B640" t="inlineStr">
        <is>
          <t>not_invited</t>
        </is>
      </c>
    </row>
    <row r="641">
      <c r="A641" t="inlineStr">
        <is>
          <t>CL000640</t>
        </is>
      </c>
      <c r="B641" t="inlineStr">
        <is>
          <t>not_invited</t>
        </is>
      </c>
    </row>
    <row r="642">
      <c r="A642" t="inlineStr">
        <is>
          <t>CL000641</t>
        </is>
      </c>
      <c r="B642" t="inlineStr">
        <is>
          <t>not_invited</t>
        </is>
      </c>
    </row>
    <row r="643">
      <c r="A643" t="inlineStr">
        <is>
          <t>CL000642</t>
        </is>
      </c>
      <c r="B643" t="inlineStr">
        <is>
          <t>not_invited</t>
        </is>
      </c>
    </row>
    <row r="644">
      <c r="A644" t="inlineStr">
        <is>
          <t>CL000643</t>
        </is>
      </c>
      <c r="B644" t="inlineStr">
        <is>
          <t>not_invited</t>
        </is>
      </c>
    </row>
    <row r="645">
      <c r="A645" t="inlineStr">
        <is>
          <t>CL000644</t>
        </is>
      </c>
      <c r="B645" t="inlineStr">
        <is>
          <t>not_invited</t>
        </is>
      </c>
    </row>
    <row r="646">
      <c r="A646" t="inlineStr">
        <is>
          <t>CL000645</t>
        </is>
      </c>
      <c r="B646" t="inlineStr">
        <is>
          <t>not_invited</t>
        </is>
      </c>
    </row>
    <row r="647">
      <c r="A647" t="inlineStr">
        <is>
          <t>CL000646</t>
        </is>
      </c>
      <c r="B647" t="inlineStr">
        <is>
          <t>not_invited</t>
        </is>
      </c>
    </row>
    <row r="648">
      <c r="A648" t="inlineStr">
        <is>
          <t>CL000647</t>
        </is>
      </c>
      <c r="B648" t="inlineStr">
        <is>
          <t>not_invited</t>
        </is>
      </c>
    </row>
    <row r="649">
      <c r="A649" t="inlineStr">
        <is>
          <t>CL000648</t>
        </is>
      </c>
      <c r="B649" t="inlineStr">
        <is>
          <t>not_invited</t>
        </is>
      </c>
    </row>
    <row r="650">
      <c r="A650" t="inlineStr">
        <is>
          <t>CL000649</t>
        </is>
      </c>
      <c r="B650" t="inlineStr">
        <is>
          <t>not_invited</t>
        </is>
      </c>
    </row>
    <row r="651">
      <c r="A651" t="inlineStr">
        <is>
          <t>CL000650</t>
        </is>
      </c>
      <c r="B651" t="inlineStr">
        <is>
          <t>not_invited</t>
        </is>
      </c>
    </row>
    <row r="652">
      <c r="A652" t="inlineStr">
        <is>
          <t>CL000651</t>
        </is>
      </c>
      <c r="B652" t="inlineStr">
        <is>
          <t>not_invited</t>
        </is>
      </c>
    </row>
    <row r="653">
      <c r="A653" t="inlineStr">
        <is>
          <t>CL000652</t>
        </is>
      </c>
      <c r="B653" t="inlineStr">
        <is>
          <t>not_invited</t>
        </is>
      </c>
    </row>
    <row r="654">
      <c r="A654" t="inlineStr">
        <is>
          <t>CL000653</t>
        </is>
      </c>
      <c r="B654" t="inlineStr">
        <is>
          <t>not_invited</t>
        </is>
      </c>
    </row>
    <row r="655">
      <c r="A655" t="inlineStr">
        <is>
          <t>CL000654</t>
        </is>
      </c>
      <c r="B655" t="inlineStr">
        <is>
          <t>not_invited</t>
        </is>
      </c>
    </row>
    <row r="656">
      <c r="A656" t="inlineStr">
        <is>
          <t>CL000655</t>
        </is>
      </c>
      <c r="B656" t="inlineStr">
        <is>
          <t>not_invited</t>
        </is>
      </c>
    </row>
    <row r="657">
      <c r="A657" t="inlineStr">
        <is>
          <t>CL000656</t>
        </is>
      </c>
      <c r="B657" t="inlineStr">
        <is>
          <t>not_invited</t>
        </is>
      </c>
    </row>
    <row r="658">
      <c r="A658" t="inlineStr">
        <is>
          <t>CL000657</t>
        </is>
      </c>
      <c r="B658" t="inlineStr">
        <is>
          <t>not_invited</t>
        </is>
      </c>
    </row>
    <row r="659">
      <c r="A659" t="inlineStr">
        <is>
          <t>CL000658</t>
        </is>
      </c>
      <c r="B659" t="inlineStr">
        <is>
          <t>not_invited</t>
        </is>
      </c>
    </row>
    <row r="660">
      <c r="A660" t="inlineStr">
        <is>
          <t>CL000659</t>
        </is>
      </c>
      <c r="B660" t="inlineStr">
        <is>
          <t>not_invited</t>
        </is>
      </c>
    </row>
    <row r="661">
      <c r="A661" t="inlineStr">
        <is>
          <t>CL000660</t>
        </is>
      </c>
      <c r="B661" t="inlineStr">
        <is>
          <t>not_invited</t>
        </is>
      </c>
    </row>
    <row r="662">
      <c r="A662" t="inlineStr">
        <is>
          <t>CL000661</t>
        </is>
      </c>
      <c r="B662" t="inlineStr">
        <is>
          <t>not_invited</t>
        </is>
      </c>
    </row>
    <row r="663">
      <c r="A663" t="inlineStr">
        <is>
          <t>CL000662</t>
        </is>
      </c>
      <c r="B663" t="inlineStr">
        <is>
          <t>not_invited</t>
        </is>
      </c>
    </row>
    <row r="664">
      <c r="A664" t="inlineStr">
        <is>
          <t>CL000663</t>
        </is>
      </c>
      <c r="B664" t="inlineStr">
        <is>
          <t>not_invited</t>
        </is>
      </c>
    </row>
    <row r="665">
      <c r="A665" t="inlineStr">
        <is>
          <t>CL000664</t>
        </is>
      </c>
      <c r="B665" t="inlineStr">
        <is>
          <t>not_invited</t>
        </is>
      </c>
    </row>
    <row r="666">
      <c r="A666" t="inlineStr">
        <is>
          <t>CL000665</t>
        </is>
      </c>
      <c r="B666" t="inlineStr">
        <is>
          <t>not_invited</t>
        </is>
      </c>
    </row>
    <row r="667">
      <c r="A667" t="inlineStr">
        <is>
          <t>CL000666</t>
        </is>
      </c>
      <c r="B667" t="inlineStr">
        <is>
          <t>not_invited</t>
        </is>
      </c>
    </row>
    <row r="668">
      <c r="A668" t="inlineStr">
        <is>
          <t>CL000667</t>
        </is>
      </c>
      <c r="B668" t="inlineStr">
        <is>
          <t>not_invited</t>
        </is>
      </c>
    </row>
    <row r="669">
      <c r="A669" t="inlineStr">
        <is>
          <t>CL000668</t>
        </is>
      </c>
      <c r="B669" t="inlineStr">
        <is>
          <t>not_invited</t>
        </is>
      </c>
    </row>
    <row r="670">
      <c r="A670" t="inlineStr">
        <is>
          <t>CL000669</t>
        </is>
      </c>
      <c r="B670" t="inlineStr">
        <is>
          <t>not_invited</t>
        </is>
      </c>
    </row>
    <row r="671">
      <c r="A671" t="inlineStr">
        <is>
          <t>CL000670</t>
        </is>
      </c>
      <c r="B671" t="inlineStr">
        <is>
          <t>not_invited</t>
        </is>
      </c>
    </row>
    <row r="672">
      <c r="A672" t="inlineStr">
        <is>
          <t>CL000671</t>
        </is>
      </c>
      <c r="B672" t="inlineStr">
        <is>
          <t>not_invited</t>
        </is>
      </c>
    </row>
    <row r="673">
      <c r="A673" t="inlineStr">
        <is>
          <t>CL000672</t>
        </is>
      </c>
      <c r="B673" t="inlineStr">
        <is>
          <t>not_invited</t>
        </is>
      </c>
    </row>
    <row r="674">
      <c r="A674" t="inlineStr">
        <is>
          <t>CL000673</t>
        </is>
      </c>
      <c r="B674" t="inlineStr">
        <is>
          <t>not_invited</t>
        </is>
      </c>
    </row>
    <row r="675">
      <c r="A675" t="inlineStr">
        <is>
          <t>CL000674</t>
        </is>
      </c>
      <c r="B675" t="inlineStr">
        <is>
          <t>not_invited</t>
        </is>
      </c>
    </row>
    <row r="676">
      <c r="A676" t="inlineStr">
        <is>
          <t>CL000675</t>
        </is>
      </c>
      <c r="B676" t="inlineStr">
        <is>
          <t>not_invited</t>
        </is>
      </c>
    </row>
    <row r="677">
      <c r="A677" t="inlineStr">
        <is>
          <t>CL000676</t>
        </is>
      </c>
      <c r="B677" t="inlineStr">
        <is>
          <t>not_invited</t>
        </is>
      </c>
    </row>
    <row r="678">
      <c r="A678" t="inlineStr">
        <is>
          <t>CL000677</t>
        </is>
      </c>
      <c r="B678" t="inlineStr">
        <is>
          <t>responded</t>
        </is>
      </c>
      <c r="C678" t="n">
        <v>0</v>
      </c>
      <c r="D678" t="n">
        <v>0</v>
      </c>
      <c r="E678" t="n">
        <v>35.29038396266813</v>
      </c>
    </row>
    <row r="679">
      <c r="A679" t="inlineStr">
        <is>
          <t>CL000678</t>
        </is>
      </c>
      <c r="B679" t="inlineStr">
        <is>
          <t>not_invited</t>
        </is>
      </c>
    </row>
    <row r="680">
      <c r="A680" t="inlineStr">
        <is>
          <t>CL000679</t>
        </is>
      </c>
      <c r="B680" t="inlineStr">
        <is>
          <t>not_invited</t>
        </is>
      </c>
    </row>
    <row r="681">
      <c r="A681" t="inlineStr">
        <is>
          <t>CL000680</t>
        </is>
      </c>
      <c r="B681" t="inlineStr">
        <is>
          <t>not_invited</t>
        </is>
      </c>
    </row>
    <row r="682">
      <c r="A682" t="inlineStr">
        <is>
          <t>CL000681</t>
        </is>
      </c>
      <c r="B682" t="inlineStr">
        <is>
          <t>not_invited</t>
        </is>
      </c>
    </row>
    <row r="683">
      <c r="A683" t="inlineStr">
        <is>
          <t>CL000682</t>
        </is>
      </c>
      <c r="B683" t="inlineStr">
        <is>
          <t>not_invited</t>
        </is>
      </c>
    </row>
    <row r="684">
      <c r="A684" t="inlineStr">
        <is>
          <t>CL000683</t>
        </is>
      </c>
      <c r="B684" t="inlineStr">
        <is>
          <t>not_invited</t>
        </is>
      </c>
    </row>
    <row r="685">
      <c r="A685" t="inlineStr">
        <is>
          <t>CL000684</t>
        </is>
      </c>
      <c r="B685" t="inlineStr">
        <is>
          <t>not_invited</t>
        </is>
      </c>
    </row>
    <row r="686">
      <c r="A686" t="inlineStr">
        <is>
          <t>CL000685</t>
        </is>
      </c>
      <c r="B686" t="inlineStr">
        <is>
          <t>not_invited</t>
        </is>
      </c>
    </row>
    <row r="687">
      <c r="A687" t="inlineStr">
        <is>
          <t>CL000686</t>
        </is>
      </c>
      <c r="B687" t="inlineStr">
        <is>
          <t>not_invited</t>
        </is>
      </c>
    </row>
    <row r="688">
      <c r="A688" t="inlineStr">
        <is>
          <t>CL000687</t>
        </is>
      </c>
      <c r="B688" t="inlineStr">
        <is>
          <t>not_invited</t>
        </is>
      </c>
    </row>
    <row r="689">
      <c r="A689" t="inlineStr">
        <is>
          <t>CL000688</t>
        </is>
      </c>
      <c r="B689" t="inlineStr">
        <is>
          <t>not_invited</t>
        </is>
      </c>
    </row>
    <row r="690">
      <c r="A690" t="inlineStr">
        <is>
          <t>CL000689</t>
        </is>
      </c>
      <c r="B690" t="inlineStr">
        <is>
          <t>not_invited</t>
        </is>
      </c>
    </row>
    <row r="691">
      <c r="A691" t="inlineStr">
        <is>
          <t>CL000690</t>
        </is>
      </c>
      <c r="B691" t="inlineStr">
        <is>
          <t>not_invited</t>
        </is>
      </c>
    </row>
    <row r="692">
      <c r="A692" t="inlineStr">
        <is>
          <t>CL000691</t>
        </is>
      </c>
      <c r="B692" t="inlineStr">
        <is>
          <t>not_invited</t>
        </is>
      </c>
    </row>
    <row r="693">
      <c r="A693" t="inlineStr">
        <is>
          <t>CL000692</t>
        </is>
      </c>
      <c r="B693" t="inlineStr">
        <is>
          <t>not_invited</t>
        </is>
      </c>
    </row>
    <row r="694">
      <c r="A694" t="inlineStr">
        <is>
          <t>CL000693</t>
        </is>
      </c>
      <c r="B694" t="inlineStr">
        <is>
          <t>not_invited</t>
        </is>
      </c>
    </row>
    <row r="695">
      <c r="A695" t="inlineStr">
        <is>
          <t>CL000694</t>
        </is>
      </c>
      <c r="B695" t="inlineStr">
        <is>
          <t>not_invited</t>
        </is>
      </c>
    </row>
    <row r="696">
      <c r="A696" t="inlineStr">
        <is>
          <t>CL000695</t>
        </is>
      </c>
      <c r="B696" t="inlineStr">
        <is>
          <t>not_invited</t>
        </is>
      </c>
    </row>
    <row r="697">
      <c r="A697" t="inlineStr">
        <is>
          <t>CL000696</t>
        </is>
      </c>
      <c r="B697" t="inlineStr">
        <is>
          <t>not_invited</t>
        </is>
      </c>
    </row>
    <row r="698">
      <c r="A698" t="inlineStr">
        <is>
          <t>CL000697</t>
        </is>
      </c>
      <c r="B698" t="inlineStr">
        <is>
          <t>not_invited</t>
        </is>
      </c>
    </row>
    <row r="699">
      <c r="A699" t="inlineStr">
        <is>
          <t>CL000698</t>
        </is>
      </c>
      <c r="B699" t="inlineStr">
        <is>
          <t>not_invited</t>
        </is>
      </c>
    </row>
    <row r="700">
      <c r="A700" t="inlineStr">
        <is>
          <t>CL000699</t>
        </is>
      </c>
      <c r="B700" t="inlineStr">
        <is>
          <t>not_invited</t>
        </is>
      </c>
    </row>
    <row r="701">
      <c r="A701" t="inlineStr">
        <is>
          <t>CL000700</t>
        </is>
      </c>
      <c r="B701" t="inlineStr">
        <is>
          <t>not_invited</t>
        </is>
      </c>
    </row>
    <row r="702">
      <c r="A702" t="inlineStr">
        <is>
          <t>CL000701</t>
        </is>
      </c>
      <c r="B702" t="inlineStr">
        <is>
          <t>responded</t>
        </is>
      </c>
      <c r="C702" t="n">
        <v>1</v>
      </c>
      <c r="D702" t="n">
        <v>1</v>
      </c>
      <c r="E702" t="n">
        <v>63.24711745155093</v>
      </c>
    </row>
    <row r="703">
      <c r="A703" t="inlineStr">
        <is>
          <t>CL000702</t>
        </is>
      </c>
      <c r="B703" t="inlineStr">
        <is>
          <t>not_invited</t>
        </is>
      </c>
    </row>
    <row r="704">
      <c r="A704" t="inlineStr">
        <is>
          <t>CL000703</t>
        </is>
      </c>
      <c r="B704" t="inlineStr">
        <is>
          <t>not_invited</t>
        </is>
      </c>
    </row>
    <row r="705">
      <c r="A705" t="inlineStr">
        <is>
          <t>CL000704</t>
        </is>
      </c>
      <c r="B705" t="inlineStr">
        <is>
          <t>not_invited</t>
        </is>
      </c>
    </row>
    <row r="706">
      <c r="A706" t="inlineStr">
        <is>
          <t>CL000705</t>
        </is>
      </c>
      <c r="B706" t="inlineStr">
        <is>
          <t>not_invited</t>
        </is>
      </c>
    </row>
    <row r="707">
      <c r="A707" t="inlineStr">
        <is>
          <t>CL000706</t>
        </is>
      </c>
      <c r="B707" t="inlineStr">
        <is>
          <t>not_invited</t>
        </is>
      </c>
    </row>
    <row r="708">
      <c r="A708" t="inlineStr">
        <is>
          <t>CL000707</t>
        </is>
      </c>
      <c r="B708" t="inlineStr">
        <is>
          <t>not_invited</t>
        </is>
      </c>
    </row>
    <row r="709">
      <c r="A709" t="inlineStr">
        <is>
          <t>CL000708</t>
        </is>
      </c>
      <c r="B709" t="inlineStr">
        <is>
          <t>not_invited</t>
        </is>
      </c>
    </row>
    <row r="710">
      <c r="A710" t="inlineStr">
        <is>
          <t>CL000709</t>
        </is>
      </c>
      <c r="B710" t="inlineStr">
        <is>
          <t>not_invited</t>
        </is>
      </c>
    </row>
    <row r="711">
      <c r="A711" t="inlineStr">
        <is>
          <t>CL000710</t>
        </is>
      </c>
      <c r="B711" t="inlineStr">
        <is>
          <t>not_invited</t>
        </is>
      </c>
    </row>
    <row r="712">
      <c r="A712" t="inlineStr">
        <is>
          <t>CL000711</t>
        </is>
      </c>
      <c r="B712" t="inlineStr">
        <is>
          <t>not_invited</t>
        </is>
      </c>
    </row>
    <row r="713">
      <c r="A713" t="inlineStr">
        <is>
          <t>CL000712</t>
        </is>
      </c>
      <c r="B713" t="inlineStr">
        <is>
          <t>not_invited</t>
        </is>
      </c>
    </row>
    <row r="714">
      <c r="A714" t="inlineStr">
        <is>
          <t>CL000713</t>
        </is>
      </c>
      <c r="B714" t="inlineStr">
        <is>
          <t>not_invited</t>
        </is>
      </c>
    </row>
    <row r="715">
      <c r="A715" t="inlineStr">
        <is>
          <t>CL000714</t>
        </is>
      </c>
      <c r="B715" t="inlineStr">
        <is>
          <t>not_invited</t>
        </is>
      </c>
    </row>
    <row r="716">
      <c r="A716" t="inlineStr">
        <is>
          <t>CL000715</t>
        </is>
      </c>
      <c r="B716" t="inlineStr">
        <is>
          <t>not_invited</t>
        </is>
      </c>
    </row>
    <row r="717">
      <c r="A717" t="inlineStr">
        <is>
          <t>CL000716</t>
        </is>
      </c>
      <c r="B717" t="inlineStr">
        <is>
          <t>not_invited</t>
        </is>
      </c>
    </row>
    <row r="718">
      <c r="A718" t="inlineStr">
        <is>
          <t>CL000717</t>
        </is>
      </c>
      <c r="B718" t="inlineStr">
        <is>
          <t>not_invited</t>
        </is>
      </c>
    </row>
    <row r="719">
      <c r="A719" t="inlineStr">
        <is>
          <t>CL000718</t>
        </is>
      </c>
      <c r="B719" t="inlineStr">
        <is>
          <t>not_invited</t>
        </is>
      </c>
    </row>
    <row r="720">
      <c r="A720" t="inlineStr">
        <is>
          <t>CL000719</t>
        </is>
      </c>
      <c r="B720" t="inlineStr">
        <is>
          <t>not_invited</t>
        </is>
      </c>
    </row>
    <row r="721">
      <c r="A721" t="inlineStr">
        <is>
          <t>CL000720</t>
        </is>
      </c>
      <c r="B721" t="inlineStr">
        <is>
          <t>not_invited</t>
        </is>
      </c>
    </row>
    <row r="722">
      <c r="A722" t="inlineStr">
        <is>
          <t>CL000721</t>
        </is>
      </c>
      <c r="B722" t="inlineStr">
        <is>
          <t>not_invited</t>
        </is>
      </c>
    </row>
    <row r="723">
      <c r="A723" t="inlineStr">
        <is>
          <t>CL000722</t>
        </is>
      </c>
      <c r="B723" t="inlineStr">
        <is>
          <t>not_invited</t>
        </is>
      </c>
    </row>
    <row r="724">
      <c r="A724" t="inlineStr">
        <is>
          <t>CL000723</t>
        </is>
      </c>
      <c r="B724" t="inlineStr">
        <is>
          <t>not_invited</t>
        </is>
      </c>
    </row>
    <row r="725">
      <c r="A725" t="inlineStr">
        <is>
          <t>CL000724</t>
        </is>
      </c>
      <c r="B725" t="inlineStr">
        <is>
          <t>not_invited</t>
        </is>
      </c>
    </row>
    <row r="726">
      <c r="A726" t="inlineStr">
        <is>
          <t>CL000725</t>
        </is>
      </c>
      <c r="B726" t="inlineStr">
        <is>
          <t>not_invited</t>
        </is>
      </c>
    </row>
    <row r="727">
      <c r="A727" t="inlineStr">
        <is>
          <t>CL000726</t>
        </is>
      </c>
      <c r="B727" t="inlineStr">
        <is>
          <t>not_invited</t>
        </is>
      </c>
    </row>
    <row r="728">
      <c r="A728" t="inlineStr">
        <is>
          <t>CL000727</t>
        </is>
      </c>
      <c r="B728" t="inlineStr">
        <is>
          <t>not_invited</t>
        </is>
      </c>
    </row>
    <row r="729">
      <c r="A729" t="inlineStr">
        <is>
          <t>CL000728</t>
        </is>
      </c>
      <c r="B729" t="inlineStr">
        <is>
          <t>not_invited</t>
        </is>
      </c>
    </row>
    <row r="730">
      <c r="A730" t="inlineStr">
        <is>
          <t>CL000729</t>
        </is>
      </c>
      <c r="B730" t="inlineStr">
        <is>
          <t>not_invited</t>
        </is>
      </c>
    </row>
    <row r="731">
      <c r="A731" t="inlineStr">
        <is>
          <t>CL000730</t>
        </is>
      </c>
      <c r="B731" t="inlineStr">
        <is>
          <t>not_invited</t>
        </is>
      </c>
    </row>
    <row r="732">
      <c r="A732" t="inlineStr">
        <is>
          <t>CL000731</t>
        </is>
      </c>
      <c r="B732" t="inlineStr">
        <is>
          <t>not_invited</t>
        </is>
      </c>
    </row>
    <row r="733">
      <c r="A733" t="inlineStr">
        <is>
          <t>CL000732</t>
        </is>
      </c>
      <c r="B733" t="inlineStr">
        <is>
          <t>responded</t>
        </is>
      </c>
      <c r="C733" t="n">
        <v>0</v>
      </c>
      <c r="D733" t="n">
        <v>0</v>
      </c>
      <c r="E733" t="n">
        <v>35.29038396266813</v>
      </c>
    </row>
    <row r="734">
      <c r="A734" t="inlineStr">
        <is>
          <t>CL000733</t>
        </is>
      </c>
      <c r="B734" t="inlineStr">
        <is>
          <t>not_invited</t>
        </is>
      </c>
    </row>
    <row r="735">
      <c r="A735" t="inlineStr">
        <is>
          <t>CL000734</t>
        </is>
      </c>
      <c r="B735" t="inlineStr">
        <is>
          <t>not_invited</t>
        </is>
      </c>
    </row>
    <row r="736">
      <c r="A736" t="inlineStr">
        <is>
          <t>CL000735</t>
        </is>
      </c>
      <c r="B736" t="inlineStr">
        <is>
          <t>not_invited</t>
        </is>
      </c>
    </row>
    <row r="737">
      <c r="A737" t="inlineStr">
        <is>
          <t>CL000736</t>
        </is>
      </c>
      <c r="B737" t="inlineStr">
        <is>
          <t>not_invited</t>
        </is>
      </c>
    </row>
    <row r="738">
      <c r="A738" t="inlineStr">
        <is>
          <t>CL000737</t>
        </is>
      </c>
      <c r="B738" t="inlineStr">
        <is>
          <t>not_invited</t>
        </is>
      </c>
    </row>
    <row r="739">
      <c r="A739" t="inlineStr">
        <is>
          <t>CL000738</t>
        </is>
      </c>
      <c r="B739" t="inlineStr">
        <is>
          <t>not_invited</t>
        </is>
      </c>
    </row>
    <row r="740">
      <c r="A740" t="inlineStr">
        <is>
          <t>CL000739</t>
        </is>
      </c>
      <c r="B740" t="inlineStr">
        <is>
          <t>not_invited</t>
        </is>
      </c>
    </row>
    <row r="741">
      <c r="A741" t="inlineStr">
        <is>
          <t>CL000740</t>
        </is>
      </c>
      <c r="B741" t="inlineStr">
        <is>
          <t>responded</t>
        </is>
      </c>
      <c r="C741" t="n">
        <v>1</v>
      </c>
      <c r="D741" t="n">
        <v>1</v>
      </c>
      <c r="E741" t="n">
        <v>63.24711745155093</v>
      </c>
    </row>
    <row r="742">
      <c r="A742" t="inlineStr">
        <is>
          <t>CL000741</t>
        </is>
      </c>
      <c r="B742" t="inlineStr">
        <is>
          <t>not_invited</t>
        </is>
      </c>
    </row>
    <row r="743">
      <c r="A743" t="inlineStr">
        <is>
          <t>CL000742</t>
        </is>
      </c>
      <c r="B743" t="inlineStr">
        <is>
          <t>not_invited</t>
        </is>
      </c>
    </row>
    <row r="744">
      <c r="A744" t="inlineStr">
        <is>
          <t>CL000743</t>
        </is>
      </c>
      <c r="B744" t="inlineStr">
        <is>
          <t>not_invited</t>
        </is>
      </c>
    </row>
    <row r="745">
      <c r="A745" t="inlineStr">
        <is>
          <t>CL000744</t>
        </is>
      </c>
      <c r="B745" t="inlineStr">
        <is>
          <t>not_invited</t>
        </is>
      </c>
    </row>
    <row r="746">
      <c r="A746" t="inlineStr">
        <is>
          <t>CL000745</t>
        </is>
      </c>
      <c r="B746" t="inlineStr">
        <is>
          <t>not_invited</t>
        </is>
      </c>
    </row>
    <row r="747">
      <c r="A747" t="inlineStr">
        <is>
          <t>CL000746</t>
        </is>
      </c>
      <c r="B747" t="inlineStr">
        <is>
          <t>not_invited</t>
        </is>
      </c>
    </row>
    <row r="748">
      <c r="A748" t="inlineStr">
        <is>
          <t>CL000747</t>
        </is>
      </c>
      <c r="B748" t="inlineStr">
        <is>
          <t>not_invited</t>
        </is>
      </c>
    </row>
    <row r="749">
      <c r="A749" t="inlineStr">
        <is>
          <t>CL000748</t>
        </is>
      </c>
      <c r="B749" t="inlineStr">
        <is>
          <t>not_invited</t>
        </is>
      </c>
    </row>
    <row r="750">
      <c r="A750" t="inlineStr">
        <is>
          <t>CL000749</t>
        </is>
      </c>
      <c r="B750" t="inlineStr">
        <is>
          <t>not_invited</t>
        </is>
      </c>
    </row>
    <row r="751">
      <c r="A751" t="inlineStr">
        <is>
          <t>CL000750</t>
        </is>
      </c>
      <c r="B751" t="inlineStr">
        <is>
          <t>not_invited</t>
        </is>
      </c>
    </row>
    <row r="752">
      <c r="A752" t="inlineStr">
        <is>
          <t>CL000751</t>
        </is>
      </c>
      <c r="B752" t="inlineStr">
        <is>
          <t>not_invited</t>
        </is>
      </c>
    </row>
    <row r="753">
      <c r="A753" t="inlineStr">
        <is>
          <t>CL000752</t>
        </is>
      </c>
      <c r="B753" t="inlineStr">
        <is>
          <t>not_invited</t>
        </is>
      </c>
    </row>
    <row r="754">
      <c r="A754" t="inlineStr">
        <is>
          <t>CL000753</t>
        </is>
      </c>
      <c r="B754" t="inlineStr">
        <is>
          <t>not_invited</t>
        </is>
      </c>
    </row>
    <row r="755">
      <c r="A755" t="inlineStr">
        <is>
          <t>CL000754</t>
        </is>
      </c>
      <c r="B755" t="inlineStr">
        <is>
          <t>responded</t>
        </is>
      </c>
      <c r="C755" t="n">
        <v>0</v>
      </c>
      <c r="D755" t="n">
        <v>0</v>
      </c>
      <c r="E755" t="n">
        <v>35.29038396266813</v>
      </c>
    </row>
    <row r="756">
      <c r="A756" t="inlineStr">
        <is>
          <t>CL000755</t>
        </is>
      </c>
      <c r="B756" t="inlineStr">
        <is>
          <t>not_invited</t>
        </is>
      </c>
    </row>
    <row r="757">
      <c r="A757" t="inlineStr">
        <is>
          <t>CL000756</t>
        </is>
      </c>
      <c r="B757" t="inlineStr">
        <is>
          <t>not_invited</t>
        </is>
      </c>
    </row>
    <row r="758">
      <c r="A758" t="inlineStr">
        <is>
          <t>CL000757</t>
        </is>
      </c>
      <c r="B758" t="inlineStr">
        <is>
          <t>not_invited</t>
        </is>
      </c>
    </row>
    <row r="759">
      <c r="A759" t="inlineStr">
        <is>
          <t>CL000758</t>
        </is>
      </c>
      <c r="B759" t="inlineStr">
        <is>
          <t>not_invited</t>
        </is>
      </c>
    </row>
    <row r="760">
      <c r="A760" t="inlineStr">
        <is>
          <t>CL000759</t>
        </is>
      </c>
      <c r="B760" t="inlineStr">
        <is>
          <t>not_invited</t>
        </is>
      </c>
    </row>
    <row r="761">
      <c r="A761" t="inlineStr">
        <is>
          <t>CL000760</t>
        </is>
      </c>
      <c r="B761" t="inlineStr">
        <is>
          <t>not_invited</t>
        </is>
      </c>
    </row>
    <row r="762">
      <c r="A762" t="inlineStr">
        <is>
          <t>CL000761</t>
        </is>
      </c>
      <c r="B762" t="inlineStr">
        <is>
          <t>not_invited</t>
        </is>
      </c>
    </row>
    <row r="763">
      <c r="A763" t="inlineStr">
        <is>
          <t>CL000762</t>
        </is>
      </c>
      <c r="B763" t="inlineStr">
        <is>
          <t>not_invited</t>
        </is>
      </c>
    </row>
    <row r="764">
      <c r="A764" t="inlineStr">
        <is>
          <t>CL000763</t>
        </is>
      </c>
      <c r="B764" t="inlineStr">
        <is>
          <t>not_invited</t>
        </is>
      </c>
    </row>
    <row r="765">
      <c r="A765" t="inlineStr">
        <is>
          <t>CL000764</t>
        </is>
      </c>
      <c r="B765" t="inlineStr">
        <is>
          <t>not_invited</t>
        </is>
      </c>
    </row>
    <row r="766">
      <c r="A766" t="inlineStr">
        <is>
          <t>CL000765</t>
        </is>
      </c>
      <c r="B766" t="inlineStr">
        <is>
          <t>not_invited</t>
        </is>
      </c>
    </row>
    <row r="767">
      <c r="A767" t="inlineStr">
        <is>
          <t>CL000766</t>
        </is>
      </c>
      <c r="B767" t="inlineStr">
        <is>
          <t>not_invited</t>
        </is>
      </c>
    </row>
    <row r="768">
      <c r="A768" t="inlineStr">
        <is>
          <t>CL000767</t>
        </is>
      </c>
      <c r="B768" t="inlineStr">
        <is>
          <t>not_invited</t>
        </is>
      </c>
    </row>
    <row r="769">
      <c r="A769" t="inlineStr">
        <is>
          <t>CL000768</t>
        </is>
      </c>
      <c r="B769" t="inlineStr">
        <is>
          <t>not_invited</t>
        </is>
      </c>
    </row>
    <row r="770">
      <c r="A770" t="inlineStr">
        <is>
          <t>CL000769</t>
        </is>
      </c>
      <c r="B770" t="inlineStr">
        <is>
          <t>not_invited</t>
        </is>
      </c>
    </row>
    <row r="771">
      <c r="A771" t="inlineStr">
        <is>
          <t>CL000770</t>
        </is>
      </c>
      <c r="B771" t="inlineStr">
        <is>
          <t>not_invited</t>
        </is>
      </c>
    </row>
    <row r="772">
      <c r="A772" t="inlineStr">
        <is>
          <t>CL000771</t>
        </is>
      </c>
      <c r="B772" t="inlineStr">
        <is>
          <t>not_invited</t>
        </is>
      </c>
    </row>
    <row r="773">
      <c r="A773" t="inlineStr">
        <is>
          <t>CL000772</t>
        </is>
      </c>
      <c r="B773" t="inlineStr">
        <is>
          <t>not_invited</t>
        </is>
      </c>
    </row>
    <row r="774">
      <c r="A774" t="inlineStr">
        <is>
          <t>CL000773</t>
        </is>
      </c>
      <c r="B774" t="inlineStr">
        <is>
          <t>not_invited</t>
        </is>
      </c>
    </row>
    <row r="775">
      <c r="A775" t="inlineStr">
        <is>
          <t>CL000774</t>
        </is>
      </c>
      <c r="B775" t="inlineStr">
        <is>
          <t>responded</t>
        </is>
      </c>
      <c r="C775" t="n">
        <v>0</v>
      </c>
      <c r="D775" t="n">
        <v>0</v>
      </c>
      <c r="E775" t="n">
        <v>35.29038396266813</v>
      </c>
    </row>
    <row r="776">
      <c r="A776" t="inlineStr">
        <is>
          <t>CL000775</t>
        </is>
      </c>
      <c r="B776" t="inlineStr">
        <is>
          <t>not_invited</t>
        </is>
      </c>
    </row>
    <row r="777">
      <c r="A777" t="inlineStr">
        <is>
          <t>CL000776</t>
        </is>
      </c>
      <c r="B777" t="inlineStr">
        <is>
          <t>not_invited</t>
        </is>
      </c>
    </row>
    <row r="778">
      <c r="A778" t="inlineStr">
        <is>
          <t>CL000777</t>
        </is>
      </c>
      <c r="B778" t="inlineStr">
        <is>
          <t>not_invited</t>
        </is>
      </c>
    </row>
    <row r="779">
      <c r="A779" t="inlineStr">
        <is>
          <t>CL000778</t>
        </is>
      </c>
      <c r="B779" t="inlineStr">
        <is>
          <t>not_invited</t>
        </is>
      </c>
    </row>
    <row r="780">
      <c r="A780" t="inlineStr">
        <is>
          <t>CL000779</t>
        </is>
      </c>
      <c r="B780" t="inlineStr">
        <is>
          <t>not_invited</t>
        </is>
      </c>
    </row>
    <row r="781">
      <c r="A781" t="inlineStr">
        <is>
          <t>CL000780</t>
        </is>
      </c>
      <c r="B781" t="inlineStr">
        <is>
          <t>not_invited</t>
        </is>
      </c>
    </row>
    <row r="782">
      <c r="A782" t="inlineStr">
        <is>
          <t>CL000781</t>
        </is>
      </c>
      <c r="B782" t="inlineStr">
        <is>
          <t>not_invited</t>
        </is>
      </c>
    </row>
    <row r="783">
      <c r="A783" t="inlineStr">
        <is>
          <t>CL000782</t>
        </is>
      </c>
      <c r="B783" t="inlineStr">
        <is>
          <t>not_invited</t>
        </is>
      </c>
    </row>
    <row r="784">
      <c r="A784" t="inlineStr">
        <is>
          <t>CL000783</t>
        </is>
      </c>
      <c r="B784" t="inlineStr">
        <is>
          <t>not_invited</t>
        </is>
      </c>
    </row>
    <row r="785">
      <c r="A785" t="inlineStr">
        <is>
          <t>CL000784</t>
        </is>
      </c>
      <c r="B785" t="inlineStr">
        <is>
          <t>not_invited</t>
        </is>
      </c>
    </row>
    <row r="786">
      <c r="A786" t="inlineStr">
        <is>
          <t>CL000785</t>
        </is>
      </c>
      <c r="B786" t="inlineStr">
        <is>
          <t>not_invited</t>
        </is>
      </c>
    </row>
    <row r="787">
      <c r="A787" t="inlineStr">
        <is>
          <t>CL000786</t>
        </is>
      </c>
      <c r="B787" t="inlineStr">
        <is>
          <t>not_invited</t>
        </is>
      </c>
    </row>
    <row r="788">
      <c r="A788" t="inlineStr">
        <is>
          <t>CL000787</t>
        </is>
      </c>
      <c r="B788" t="inlineStr">
        <is>
          <t>not_invited</t>
        </is>
      </c>
    </row>
    <row r="789">
      <c r="A789" t="inlineStr">
        <is>
          <t>CL000788</t>
        </is>
      </c>
      <c r="B789" t="inlineStr">
        <is>
          <t>not_invited</t>
        </is>
      </c>
    </row>
    <row r="790">
      <c r="A790" t="inlineStr">
        <is>
          <t>CL000789</t>
        </is>
      </c>
      <c r="B790" t="inlineStr">
        <is>
          <t>not_invited</t>
        </is>
      </c>
    </row>
    <row r="791">
      <c r="A791" t="inlineStr">
        <is>
          <t>CL000790</t>
        </is>
      </c>
      <c r="B791" t="inlineStr">
        <is>
          <t>not_invited</t>
        </is>
      </c>
    </row>
    <row r="792">
      <c r="A792" t="inlineStr">
        <is>
          <t>CL000791</t>
        </is>
      </c>
      <c r="B792" t="inlineStr">
        <is>
          <t>not_invited</t>
        </is>
      </c>
    </row>
    <row r="793">
      <c r="A793" t="inlineStr">
        <is>
          <t>CL000792</t>
        </is>
      </c>
      <c r="B793" t="inlineStr">
        <is>
          <t>not_invited</t>
        </is>
      </c>
    </row>
    <row r="794">
      <c r="A794" t="inlineStr">
        <is>
          <t>CL000793</t>
        </is>
      </c>
      <c r="B794" t="inlineStr">
        <is>
          <t>not_invited</t>
        </is>
      </c>
    </row>
    <row r="795">
      <c r="A795" t="inlineStr">
        <is>
          <t>CL000794</t>
        </is>
      </c>
      <c r="B795" t="inlineStr">
        <is>
          <t>not_invited</t>
        </is>
      </c>
    </row>
    <row r="796">
      <c r="A796" t="inlineStr">
        <is>
          <t>CL000795</t>
        </is>
      </c>
      <c r="B796" t="inlineStr">
        <is>
          <t>not_invited</t>
        </is>
      </c>
    </row>
    <row r="797">
      <c r="A797" t="inlineStr">
        <is>
          <t>CL000796</t>
        </is>
      </c>
      <c r="B797" t="inlineStr">
        <is>
          <t>not_invited</t>
        </is>
      </c>
    </row>
    <row r="798">
      <c r="A798" t="inlineStr">
        <is>
          <t>CL000797</t>
        </is>
      </c>
      <c r="B798" t="inlineStr">
        <is>
          <t>not_invited</t>
        </is>
      </c>
    </row>
    <row r="799">
      <c r="A799" t="inlineStr">
        <is>
          <t>CL000798</t>
        </is>
      </c>
      <c r="B799" t="inlineStr">
        <is>
          <t>not_invited</t>
        </is>
      </c>
    </row>
    <row r="800">
      <c r="A800" t="inlineStr">
        <is>
          <t>CL000799</t>
        </is>
      </c>
      <c r="B800" t="inlineStr">
        <is>
          <t>not_invited</t>
        </is>
      </c>
    </row>
    <row r="801">
      <c r="A801" t="inlineStr">
        <is>
          <t>CL000800</t>
        </is>
      </c>
      <c r="B801" t="inlineStr">
        <is>
          <t>not_invited</t>
        </is>
      </c>
    </row>
    <row r="802">
      <c r="A802" t="inlineStr">
        <is>
          <t>CL000801</t>
        </is>
      </c>
      <c r="B802" t="inlineStr">
        <is>
          <t>not_invited</t>
        </is>
      </c>
    </row>
    <row r="803">
      <c r="A803" t="inlineStr">
        <is>
          <t>CL000802</t>
        </is>
      </c>
      <c r="B803" t="inlineStr">
        <is>
          <t>not_invited</t>
        </is>
      </c>
    </row>
    <row r="804">
      <c r="A804" t="inlineStr">
        <is>
          <t>CL000803</t>
        </is>
      </c>
      <c r="B804" t="inlineStr">
        <is>
          <t>not_invited</t>
        </is>
      </c>
    </row>
    <row r="805">
      <c r="A805" t="inlineStr">
        <is>
          <t>CL000804</t>
        </is>
      </c>
      <c r="B805" t="inlineStr">
        <is>
          <t>not_invited</t>
        </is>
      </c>
    </row>
    <row r="806">
      <c r="A806" t="inlineStr">
        <is>
          <t>CL000805</t>
        </is>
      </c>
      <c r="B806" t="inlineStr">
        <is>
          <t>not_invited</t>
        </is>
      </c>
    </row>
    <row r="807">
      <c r="A807" t="inlineStr">
        <is>
          <t>CL000806</t>
        </is>
      </c>
      <c r="B807" t="inlineStr">
        <is>
          <t>not_invited</t>
        </is>
      </c>
    </row>
    <row r="808">
      <c r="A808" t="inlineStr">
        <is>
          <t>CL000807</t>
        </is>
      </c>
      <c r="B808" t="inlineStr">
        <is>
          <t>not_invited</t>
        </is>
      </c>
    </row>
    <row r="809">
      <c r="A809" t="inlineStr">
        <is>
          <t>CL000808</t>
        </is>
      </c>
      <c r="B809" t="inlineStr">
        <is>
          <t>not_invited</t>
        </is>
      </c>
    </row>
    <row r="810">
      <c r="A810" t="inlineStr">
        <is>
          <t>CL000809</t>
        </is>
      </c>
      <c r="B810" t="inlineStr">
        <is>
          <t>not_invited</t>
        </is>
      </c>
    </row>
    <row r="811">
      <c r="A811" t="inlineStr">
        <is>
          <t>CL000810</t>
        </is>
      </c>
      <c r="B811" t="inlineStr">
        <is>
          <t>not_invited</t>
        </is>
      </c>
    </row>
    <row r="812">
      <c r="A812" t="inlineStr">
        <is>
          <t>CL000811</t>
        </is>
      </c>
      <c r="B812" t="inlineStr">
        <is>
          <t>not_invited</t>
        </is>
      </c>
    </row>
    <row r="813">
      <c r="A813" t="inlineStr">
        <is>
          <t>CL000812</t>
        </is>
      </c>
      <c r="B813" t="inlineStr">
        <is>
          <t>not_invited</t>
        </is>
      </c>
    </row>
    <row r="814">
      <c r="A814" t="inlineStr">
        <is>
          <t>CL000813</t>
        </is>
      </c>
      <c r="B814" t="inlineStr">
        <is>
          <t>not_invited</t>
        </is>
      </c>
    </row>
    <row r="815">
      <c r="A815" t="inlineStr">
        <is>
          <t>CL000814</t>
        </is>
      </c>
      <c r="B815" t="inlineStr">
        <is>
          <t>not_invited</t>
        </is>
      </c>
    </row>
    <row r="816">
      <c r="A816" t="inlineStr">
        <is>
          <t>CL000815</t>
        </is>
      </c>
      <c r="B816" t="inlineStr">
        <is>
          <t>not_invited</t>
        </is>
      </c>
    </row>
    <row r="817">
      <c r="A817" t="inlineStr">
        <is>
          <t>CL000816</t>
        </is>
      </c>
      <c r="B817" t="inlineStr">
        <is>
          <t>not_invited</t>
        </is>
      </c>
    </row>
    <row r="818">
      <c r="A818" t="inlineStr">
        <is>
          <t>CL000817</t>
        </is>
      </c>
      <c r="B818" t="inlineStr">
        <is>
          <t>not_invited</t>
        </is>
      </c>
    </row>
    <row r="819">
      <c r="A819" t="inlineStr">
        <is>
          <t>CL000818</t>
        </is>
      </c>
      <c r="B819" t="inlineStr">
        <is>
          <t>not_invited</t>
        </is>
      </c>
    </row>
    <row r="820">
      <c r="A820" t="inlineStr">
        <is>
          <t>CL000819</t>
        </is>
      </c>
      <c r="B820" t="inlineStr">
        <is>
          <t>not_invited</t>
        </is>
      </c>
    </row>
    <row r="821">
      <c r="A821" t="inlineStr">
        <is>
          <t>CL000820</t>
        </is>
      </c>
      <c r="B821" t="inlineStr">
        <is>
          <t>not_invited</t>
        </is>
      </c>
    </row>
    <row r="822">
      <c r="A822" t="inlineStr">
        <is>
          <t>CL000821</t>
        </is>
      </c>
      <c r="B822" t="inlineStr">
        <is>
          <t>not_invited</t>
        </is>
      </c>
    </row>
    <row r="823">
      <c r="A823" t="inlineStr">
        <is>
          <t>CL000822</t>
        </is>
      </c>
      <c r="B823" t="inlineStr">
        <is>
          <t>not_invited</t>
        </is>
      </c>
    </row>
    <row r="824">
      <c r="A824" t="inlineStr">
        <is>
          <t>CL000823</t>
        </is>
      </c>
      <c r="B824" t="inlineStr">
        <is>
          <t>not_invited</t>
        </is>
      </c>
    </row>
    <row r="825">
      <c r="A825" t="inlineStr">
        <is>
          <t>CL000824</t>
        </is>
      </c>
      <c r="B825" t="inlineStr">
        <is>
          <t>not_invited</t>
        </is>
      </c>
    </row>
    <row r="826">
      <c r="A826" t="inlineStr">
        <is>
          <t>CL000825</t>
        </is>
      </c>
      <c r="B826" t="inlineStr">
        <is>
          <t>not_invited</t>
        </is>
      </c>
    </row>
    <row r="827">
      <c r="A827" t="inlineStr">
        <is>
          <t>CL000826</t>
        </is>
      </c>
      <c r="B827" t="inlineStr">
        <is>
          <t>not_invited</t>
        </is>
      </c>
    </row>
    <row r="828">
      <c r="A828" t="inlineStr">
        <is>
          <t>CL000827</t>
        </is>
      </c>
      <c r="B828" t="inlineStr">
        <is>
          <t>not_invited</t>
        </is>
      </c>
    </row>
    <row r="829">
      <c r="A829" t="inlineStr">
        <is>
          <t>CL000828</t>
        </is>
      </c>
      <c r="B829" t="inlineStr">
        <is>
          <t>not_invited</t>
        </is>
      </c>
    </row>
    <row r="830">
      <c r="A830" t="inlineStr">
        <is>
          <t>CL000829</t>
        </is>
      </c>
      <c r="B830" t="inlineStr">
        <is>
          <t>not_invited</t>
        </is>
      </c>
    </row>
    <row r="831">
      <c r="A831" t="inlineStr">
        <is>
          <t>CL000830</t>
        </is>
      </c>
      <c r="B831" t="inlineStr">
        <is>
          <t>not_invited</t>
        </is>
      </c>
    </row>
    <row r="832">
      <c r="A832" t="inlineStr">
        <is>
          <t>CL000831</t>
        </is>
      </c>
      <c r="B832" t="inlineStr">
        <is>
          <t>not_invited</t>
        </is>
      </c>
    </row>
    <row r="833">
      <c r="A833" t="inlineStr">
        <is>
          <t>CL000832</t>
        </is>
      </c>
      <c r="B833" t="inlineStr">
        <is>
          <t>not_invited</t>
        </is>
      </c>
    </row>
    <row r="834">
      <c r="A834" t="inlineStr">
        <is>
          <t>CL000833</t>
        </is>
      </c>
      <c r="B834" t="inlineStr">
        <is>
          <t>not_invited</t>
        </is>
      </c>
    </row>
    <row r="835">
      <c r="A835" t="inlineStr">
        <is>
          <t>CL000834</t>
        </is>
      </c>
      <c r="B835" t="inlineStr">
        <is>
          <t>nonresponse</t>
        </is>
      </c>
    </row>
    <row r="836">
      <c r="A836" t="inlineStr">
        <is>
          <t>CL000835</t>
        </is>
      </c>
      <c r="B836" t="inlineStr">
        <is>
          <t>not_invited</t>
        </is>
      </c>
    </row>
    <row r="837">
      <c r="A837" t="inlineStr">
        <is>
          <t>CL000836</t>
        </is>
      </c>
      <c r="B837" t="inlineStr">
        <is>
          <t>not_invited</t>
        </is>
      </c>
    </row>
    <row r="838">
      <c r="A838" t="inlineStr">
        <is>
          <t>CL000837</t>
        </is>
      </c>
      <c r="B838" t="inlineStr">
        <is>
          <t>not_invited</t>
        </is>
      </c>
    </row>
    <row r="839">
      <c r="A839" t="inlineStr">
        <is>
          <t>CL000838</t>
        </is>
      </c>
      <c r="B839" t="inlineStr">
        <is>
          <t>responded</t>
        </is>
      </c>
      <c r="C839" t="n">
        <v>0</v>
      </c>
      <c r="D839" t="n">
        <v>0</v>
      </c>
      <c r="E839" t="n">
        <v>35.29038396266813</v>
      </c>
    </row>
    <row r="840">
      <c r="A840" t="inlineStr">
        <is>
          <t>CL000839</t>
        </is>
      </c>
      <c r="B840" t="inlineStr">
        <is>
          <t>not_invited</t>
        </is>
      </c>
    </row>
    <row r="841">
      <c r="A841" t="inlineStr">
        <is>
          <t>CL000840</t>
        </is>
      </c>
      <c r="B841" t="inlineStr">
        <is>
          <t>responded</t>
        </is>
      </c>
      <c r="C841" t="n">
        <v>0</v>
      </c>
      <c r="D841" t="n">
        <v>0</v>
      </c>
      <c r="E841" t="n">
        <v>35.29038396266813</v>
      </c>
    </row>
    <row r="842">
      <c r="A842" t="inlineStr">
        <is>
          <t>CL000841</t>
        </is>
      </c>
      <c r="B842" t="inlineStr">
        <is>
          <t>not_invited</t>
        </is>
      </c>
    </row>
    <row r="843">
      <c r="A843" t="inlineStr">
        <is>
          <t>CL000842</t>
        </is>
      </c>
      <c r="B843" t="inlineStr">
        <is>
          <t>not_invited</t>
        </is>
      </c>
    </row>
    <row r="844">
      <c r="A844" t="inlineStr">
        <is>
          <t>CL000843</t>
        </is>
      </c>
      <c r="B844" t="inlineStr">
        <is>
          <t>not_invited</t>
        </is>
      </c>
    </row>
    <row r="845">
      <c r="A845" t="inlineStr">
        <is>
          <t>CL000844</t>
        </is>
      </c>
      <c r="B845" t="inlineStr">
        <is>
          <t>not_invited</t>
        </is>
      </c>
    </row>
    <row r="846">
      <c r="A846" t="inlineStr">
        <is>
          <t>CL000845</t>
        </is>
      </c>
      <c r="B846" t="inlineStr">
        <is>
          <t>not_invited</t>
        </is>
      </c>
    </row>
    <row r="847">
      <c r="A847" t="inlineStr">
        <is>
          <t>CL000846</t>
        </is>
      </c>
      <c r="B847" t="inlineStr">
        <is>
          <t>not_invited</t>
        </is>
      </c>
    </row>
    <row r="848">
      <c r="A848" t="inlineStr">
        <is>
          <t>CL000847</t>
        </is>
      </c>
      <c r="B848" t="inlineStr">
        <is>
          <t>not_invited</t>
        </is>
      </c>
    </row>
    <row r="849">
      <c r="A849" t="inlineStr">
        <is>
          <t>CL000848</t>
        </is>
      </c>
      <c r="B849" t="inlineStr">
        <is>
          <t>not_invited</t>
        </is>
      </c>
    </row>
    <row r="850">
      <c r="A850" t="inlineStr">
        <is>
          <t>CL000849</t>
        </is>
      </c>
      <c r="B850" t="inlineStr">
        <is>
          <t>not_invited</t>
        </is>
      </c>
    </row>
    <row r="851">
      <c r="A851" t="inlineStr">
        <is>
          <t>CL000850</t>
        </is>
      </c>
      <c r="B851" t="inlineStr">
        <is>
          <t>not_invited</t>
        </is>
      </c>
    </row>
    <row r="852">
      <c r="A852" t="inlineStr">
        <is>
          <t>CL000851</t>
        </is>
      </c>
      <c r="B852" t="inlineStr">
        <is>
          <t>not_invited</t>
        </is>
      </c>
    </row>
    <row r="853">
      <c r="A853" t="inlineStr">
        <is>
          <t>CL000852</t>
        </is>
      </c>
      <c r="B853" t="inlineStr">
        <is>
          <t>not_invited</t>
        </is>
      </c>
    </row>
    <row r="854">
      <c r="A854" t="inlineStr">
        <is>
          <t>CL000853</t>
        </is>
      </c>
      <c r="B854" t="inlineStr">
        <is>
          <t>not_invited</t>
        </is>
      </c>
    </row>
    <row r="855">
      <c r="A855" t="inlineStr">
        <is>
          <t>CL000854</t>
        </is>
      </c>
      <c r="B855" t="inlineStr">
        <is>
          <t>not_invited</t>
        </is>
      </c>
    </row>
    <row r="856">
      <c r="A856" t="inlineStr">
        <is>
          <t>CL000855</t>
        </is>
      </c>
      <c r="B856" t="inlineStr">
        <is>
          <t>not_invited</t>
        </is>
      </c>
    </row>
    <row r="857">
      <c r="A857" t="inlineStr">
        <is>
          <t>CL000856</t>
        </is>
      </c>
      <c r="B857" t="inlineStr">
        <is>
          <t>not_invited</t>
        </is>
      </c>
    </row>
    <row r="858">
      <c r="A858" t="inlineStr">
        <is>
          <t>CL000857</t>
        </is>
      </c>
      <c r="B858" t="inlineStr">
        <is>
          <t>not_invited</t>
        </is>
      </c>
    </row>
    <row r="859">
      <c r="A859" t="inlineStr">
        <is>
          <t>CL000858</t>
        </is>
      </c>
      <c r="B859" t="inlineStr">
        <is>
          <t>not_invited</t>
        </is>
      </c>
    </row>
    <row r="860">
      <c r="A860" t="inlineStr">
        <is>
          <t>CL000859</t>
        </is>
      </c>
      <c r="B860" t="inlineStr">
        <is>
          <t>not_invited</t>
        </is>
      </c>
    </row>
    <row r="861">
      <c r="A861" t="inlineStr">
        <is>
          <t>CL000860</t>
        </is>
      </c>
      <c r="B861" t="inlineStr">
        <is>
          <t>not_invited</t>
        </is>
      </c>
    </row>
    <row r="862">
      <c r="A862" t="inlineStr">
        <is>
          <t>CL000861</t>
        </is>
      </c>
      <c r="B862" t="inlineStr">
        <is>
          <t>not_invited</t>
        </is>
      </c>
    </row>
    <row r="863">
      <c r="A863" t="inlineStr">
        <is>
          <t>CL000862</t>
        </is>
      </c>
      <c r="B863" t="inlineStr">
        <is>
          <t>not_invited</t>
        </is>
      </c>
    </row>
    <row r="864">
      <c r="A864" t="inlineStr">
        <is>
          <t>CL000863</t>
        </is>
      </c>
      <c r="B864" t="inlineStr">
        <is>
          <t>not_invited</t>
        </is>
      </c>
    </row>
    <row r="865">
      <c r="A865" t="inlineStr">
        <is>
          <t>CL000864</t>
        </is>
      </c>
      <c r="B865" t="inlineStr">
        <is>
          <t>not_invited</t>
        </is>
      </c>
    </row>
    <row r="866">
      <c r="A866" t="inlineStr">
        <is>
          <t>CL000865</t>
        </is>
      </c>
      <c r="B866" t="inlineStr">
        <is>
          <t>not_invited</t>
        </is>
      </c>
    </row>
    <row r="867">
      <c r="A867" t="inlineStr">
        <is>
          <t>CL000866</t>
        </is>
      </c>
      <c r="B867" t="inlineStr">
        <is>
          <t>not_invited</t>
        </is>
      </c>
    </row>
    <row r="868">
      <c r="A868" t="inlineStr">
        <is>
          <t>CL000867</t>
        </is>
      </c>
      <c r="B868" t="inlineStr">
        <is>
          <t>not_invited</t>
        </is>
      </c>
    </row>
    <row r="869">
      <c r="A869" t="inlineStr">
        <is>
          <t>CL000868</t>
        </is>
      </c>
      <c r="B869" t="inlineStr">
        <is>
          <t>not_invited</t>
        </is>
      </c>
    </row>
    <row r="870">
      <c r="A870" t="inlineStr">
        <is>
          <t>CL000869</t>
        </is>
      </c>
      <c r="B870" t="inlineStr">
        <is>
          <t>not_invited</t>
        </is>
      </c>
    </row>
    <row r="871">
      <c r="A871" t="inlineStr">
        <is>
          <t>CL000870</t>
        </is>
      </c>
      <c r="B871" t="inlineStr">
        <is>
          <t>not_invited</t>
        </is>
      </c>
    </row>
    <row r="872">
      <c r="A872" t="inlineStr">
        <is>
          <t>CL000871</t>
        </is>
      </c>
      <c r="B872" t="inlineStr">
        <is>
          <t>not_invited</t>
        </is>
      </c>
    </row>
    <row r="873">
      <c r="A873" t="inlineStr">
        <is>
          <t>CL000872</t>
        </is>
      </c>
      <c r="B873" t="inlineStr">
        <is>
          <t>not_invited</t>
        </is>
      </c>
    </row>
    <row r="874">
      <c r="A874" t="inlineStr">
        <is>
          <t>CL000873</t>
        </is>
      </c>
      <c r="B874" t="inlineStr">
        <is>
          <t>not_invited</t>
        </is>
      </c>
    </row>
    <row r="875">
      <c r="A875" t="inlineStr">
        <is>
          <t>CL000874</t>
        </is>
      </c>
      <c r="B875" t="inlineStr">
        <is>
          <t>not_invited</t>
        </is>
      </c>
    </row>
    <row r="876">
      <c r="A876" t="inlineStr">
        <is>
          <t>CL000875</t>
        </is>
      </c>
      <c r="B876" t="inlineStr">
        <is>
          <t>not_invited</t>
        </is>
      </c>
    </row>
    <row r="877">
      <c r="A877" t="inlineStr">
        <is>
          <t>CL000876</t>
        </is>
      </c>
      <c r="B877" t="inlineStr">
        <is>
          <t>not_invited</t>
        </is>
      </c>
    </row>
    <row r="878">
      <c r="A878" t="inlineStr">
        <is>
          <t>CL000877</t>
        </is>
      </c>
      <c r="B878" t="inlineStr">
        <is>
          <t>not_invited</t>
        </is>
      </c>
    </row>
    <row r="879">
      <c r="A879" t="inlineStr">
        <is>
          <t>CL000878</t>
        </is>
      </c>
      <c r="B879" t="inlineStr">
        <is>
          <t>not_invited</t>
        </is>
      </c>
    </row>
    <row r="880">
      <c r="A880" t="inlineStr">
        <is>
          <t>CL000879</t>
        </is>
      </c>
      <c r="B880" t="inlineStr">
        <is>
          <t>not_invited</t>
        </is>
      </c>
    </row>
    <row r="881">
      <c r="A881" t="inlineStr">
        <is>
          <t>CL000880</t>
        </is>
      </c>
      <c r="B881" t="inlineStr">
        <is>
          <t>not_invited</t>
        </is>
      </c>
    </row>
    <row r="882">
      <c r="A882" t="inlineStr">
        <is>
          <t>CL000881</t>
        </is>
      </c>
      <c r="B882" t="inlineStr">
        <is>
          <t>not_invited</t>
        </is>
      </c>
    </row>
    <row r="883">
      <c r="A883" t="inlineStr">
        <is>
          <t>CL000882</t>
        </is>
      </c>
      <c r="B883" t="inlineStr">
        <is>
          <t>not_invited</t>
        </is>
      </c>
    </row>
    <row r="884">
      <c r="A884" t="inlineStr">
        <is>
          <t>CL000883</t>
        </is>
      </c>
      <c r="B884" t="inlineStr">
        <is>
          <t>not_invited</t>
        </is>
      </c>
    </row>
    <row r="885">
      <c r="A885" t="inlineStr">
        <is>
          <t>CL000884</t>
        </is>
      </c>
      <c r="B885" t="inlineStr">
        <is>
          <t>not_invited</t>
        </is>
      </c>
    </row>
    <row r="886">
      <c r="A886" t="inlineStr">
        <is>
          <t>CL000885</t>
        </is>
      </c>
      <c r="B886" t="inlineStr">
        <is>
          <t>not_invited</t>
        </is>
      </c>
    </row>
    <row r="887">
      <c r="A887" t="inlineStr">
        <is>
          <t>CL000886</t>
        </is>
      </c>
      <c r="B887" t="inlineStr">
        <is>
          <t>not_invited</t>
        </is>
      </c>
    </row>
    <row r="888">
      <c r="A888" t="inlineStr">
        <is>
          <t>CL000887</t>
        </is>
      </c>
      <c r="B888" t="inlineStr">
        <is>
          <t>not_invited</t>
        </is>
      </c>
    </row>
    <row r="889">
      <c r="A889" t="inlineStr">
        <is>
          <t>CL000888</t>
        </is>
      </c>
      <c r="B889" t="inlineStr">
        <is>
          <t>not_invited</t>
        </is>
      </c>
    </row>
    <row r="890">
      <c r="A890" t="inlineStr">
        <is>
          <t>CL000889</t>
        </is>
      </c>
      <c r="B890" t="inlineStr">
        <is>
          <t>not_invited</t>
        </is>
      </c>
    </row>
    <row r="891">
      <c r="A891" t="inlineStr">
        <is>
          <t>CL000890</t>
        </is>
      </c>
      <c r="B891" t="inlineStr">
        <is>
          <t>not_invited</t>
        </is>
      </c>
    </row>
    <row r="892">
      <c r="A892" t="inlineStr">
        <is>
          <t>CL000891</t>
        </is>
      </c>
      <c r="B892" t="inlineStr">
        <is>
          <t>not_invited</t>
        </is>
      </c>
    </row>
    <row r="893">
      <c r="A893" t="inlineStr">
        <is>
          <t>CL000892</t>
        </is>
      </c>
      <c r="B893" t="inlineStr">
        <is>
          <t>not_invited</t>
        </is>
      </c>
    </row>
    <row r="894">
      <c r="A894" t="inlineStr">
        <is>
          <t>CL000893</t>
        </is>
      </c>
      <c r="B894" t="inlineStr">
        <is>
          <t>not_invited</t>
        </is>
      </c>
    </row>
    <row r="895">
      <c r="A895" t="inlineStr">
        <is>
          <t>CL000894</t>
        </is>
      </c>
      <c r="B895" t="inlineStr">
        <is>
          <t>not_invited</t>
        </is>
      </c>
    </row>
    <row r="896">
      <c r="A896" t="inlineStr">
        <is>
          <t>CL000895</t>
        </is>
      </c>
      <c r="B896" t="inlineStr">
        <is>
          <t>not_invited</t>
        </is>
      </c>
    </row>
    <row r="897">
      <c r="A897" t="inlineStr">
        <is>
          <t>CL000896</t>
        </is>
      </c>
      <c r="B897" t="inlineStr">
        <is>
          <t>not_invited</t>
        </is>
      </c>
    </row>
    <row r="898">
      <c r="A898" t="inlineStr">
        <is>
          <t>CL000897</t>
        </is>
      </c>
      <c r="B898" t="inlineStr">
        <is>
          <t>not_invited</t>
        </is>
      </c>
    </row>
    <row r="899">
      <c r="A899" t="inlineStr">
        <is>
          <t>CL000898</t>
        </is>
      </c>
      <c r="B899" t="inlineStr">
        <is>
          <t>not_invited</t>
        </is>
      </c>
    </row>
    <row r="900">
      <c r="A900" t="inlineStr">
        <is>
          <t>CL000899</t>
        </is>
      </c>
      <c r="B900" t="inlineStr">
        <is>
          <t>not_invited</t>
        </is>
      </c>
    </row>
    <row r="901">
      <c r="A901" t="inlineStr">
        <is>
          <t>CL000900</t>
        </is>
      </c>
      <c r="B901" t="inlineStr">
        <is>
          <t>not_invited</t>
        </is>
      </c>
    </row>
    <row r="902">
      <c r="A902" t="inlineStr">
        <is>
          <t>CL000901</t>
        </is>
      </c>
      <c r="B902" t="inlineStr">
        <is>
          <t>not_invited</t>
        </is>
      </c>
    </row>
    <row r="903">
      <c r="A903" t="inlineStr">
        <is>
          <t>CL000902</t>
        </is>
      </c>
      <c r="B903" t="inlineStr">
        <is>
          <t>not_invited</t>
        </is>
      </c>
    </row>
    <row r="904">
      <c r="A904" t="inlineStr">
        <is>
          <t>CL000903</t>
        </is>
      </c>
      <c r="B904" t="inlineStr">
        <is>
          <t>not_invited</t>
        </is>
      </c>
    </row>
    <row r="905">
      <c r="A905" t="inlineStr">
        <is>
          <t>CL000904</t>
        </is>
      </c>
      <c r="B905" t="inlineStr">
        <is>
          <t>not_invited</t>
        </is>
      </c>
    </row>
    <row r="906">
      <c r="A906" t="inlineStr">
        <is>
          <t>CL000905</t>
        </is>
      </c>
      <c r="B906" t="inlineStr">
        <is>
          <t>not_invited</t>
        </is>
      </c>
    </row>
    <row r="907">
      <c r="A907" t="inlineStr">
        <is>
          <t>CL000906</t>
        </is>
      </c>
      <c r="B907" t="inlineStr">
        <is>
          <t>not_invited</t>
        </is>
      </c>
    </row>
    <row r="908">
      <c r="A908" t="inlineStr">
        <is>
          <t>CL000907</t>
        </is>
      </c>
      <c r="B908" t="inlineStr">
        <is>
          <t>not_invited</t>
        </is>
      </c>
    </row>
    <row r="909">
      <c r="A909" t="inlineStr">
        <is>
          <t>CL000908</t>
        </is>
      </c>
      <c r="B909" t="inlineStr">
        <is>
          <t>not_invited</t>
        </is>
      </c>
    </row>
    <row r="910">
      <c r="A910" t="inlineStr">
        <is>
          <t>CL000909</t>
        </is>
      </c>
      <c r="B910" t="inlineStr">
        <is>
          <t>not_invited</t>
        </is>
      </c>
    </row>
    <row r="911">
      <c r="A911" t="inlineStr">
        <is>
          <t>CL000910</t>
        </is>
      </c>
      <c r="B911" t="inlineStr">
        <is>
          <t>not_invited</t>
        </is>
      </c>
    </row>
    <row r="912">
      <c r="A912" t="inlineStr">
        <is>
          <t>CL000911</t>
        </is>
      </c>
      <c r="B912" t="inlineStr">
        <is>
          <t>responded</t>
        </is>
      </c>
      <c r="C912" t="n">
        <v>1</v>
      </c>
      <c r="D912" t="n">
        <v>1</v>
      </c>
      <c r="E912" t="n">
        <v>63.24711745155093</v>
      </c>
    </row>
    <row r="913">
      <c r="A913" t="inlineStr">
        <is>
          <t>CL000912</t>
        </is>
      </c>
      <c r="B913" t="inlineStr">
        <is>
          <t>not_invited</t>
        </is>
      </c>
    </row>
    <row r="914">
      <c r="A914" t="inlineStr">
        <is>
          <t>CL000913</t>
        </is>
      </c>
      <c r="B914" t="inlineStr">
        <is>
          <t>not_invited</t>
        </is>
      </c>
    </row>
    <row r="915">
      <c r="A915" t="inlineStr">
        <is>
          <t>CL000914</t>
        </is>
      </c>
      <c r="B915" t="inlineStr">
        <is>
          <t>not_invited</t>
        </is>
      </c>
    </row>
    <row r="916">
      <c r="A916" t="inlineStr">
        <is>
          <t>CL000915</t>
        </is>
      </c>
      <c r="B916" t="inlineStr">
        <is>
          <t>not_invited</t>
        </is>
      </c>
    </row>
    <row r="917">
      <c r="A917" t="inlineStr">
        <is>
          <t>CL000916</t>
        </is>
      </c>
      <c r="B917" t="inlineStr">
        <is>
          <t>not_invited</t>
        </is>
      </c>
    </row>
    <row r="918">
      <c r="A918" t="inlineStr">
        <is>
          <t>CL000917</t>
        </is>
      </c>
      <c r="B918" t="inlineStr">
        <is>
          <t>not_invited</t>
        </is>
      </c>
    </row>
    <row r="919">
      <c r="A919" t="inlineStr">
        <is>
          <t>CL000918</t>
        </is>
      </c>
      <c r="B919" t="inlineStr">
        <is>
          <t>responded</t>
        </is>
      </c>
      <c r="C919" t="n">
        <v>0</v>
      </c>
      <c r="D919" t="n">
        <v>0</v>
      </c>
      <c r="E919" t="n">
        <v>35.29038396266813</v>
      </c>
    </row>
    <row r="920">
      <c r="A920" t="inlineStr">
        <is>
          <t>CL000919</t>
        </is>
      </c>
      <c r="B920" t="inlineStr">
        <is>
          <t>not_invited</t>
        </is>
      </c>
    </row>
    <row r="921">
      <c r="A921" t="inlineStr">
        <is>
          <t>CL000920</t>
        </is>
      </c>
      <c r="B921" t="inlineStr">
        <is>
          <t>not_invited</t>
        </is>
      </c>
    </row>
    <row r="922">
      <c r="A922" t="inlineStr">
        <is>
          <t>CL000921</t>
        </is>
      </c>
      <c r="B922" t="inlineStr">
        <is>
          <t>not_invited</t>
        </is>
      </c>
    </row>
    <row r="923">
      <c r="A923" t="inlineStr">
        <is>
          <t>CL000922</t>
        </is>
      </c>
      <c r="B923" t="inlineStr">
        <is>
          <t>not_invited</t>
        </is>
      </c>
    </row>
    <row r="924">
      <c r="A924" t="inlineStr">
        <is>
          <t>CL000923</t>
        </is>
      </c>
      <c r="B924" t="inlineStr">
        <is>
          <t>not_invited</t>
        </is>
      </c>
    </row>
    <row r="925">
      <c r="A925" t="inlineStr">
        <is>
          <t>CL000924</t>
        </is>
      </c>
      <c r="B925" t="inlineStr">
        <is>
          <t>not_invited</t>
        </is>
      </c>
    </row>
    <row r="926">
      <c r="A926" t="inlineStr">
        <is>
          <t>CL000925</t>
        </is>
      </c>
      <c r="B926" t="inlineStr">
        <is>
          <t>not_invited</t>
        </is>
      </c>
    </row>
    <row r="927">
      <c r="A927" t="inlineStr">
        <is>
          <t>CL000926</t>
        </is>
      </c>
      <c r="B927" t="inlineStr">
        <is>
          <t>not_invited</t>
        </is>
      </c>
    </row>
    <row r="928">
      <c r="A928" t="inlineStr">
        <is>
          <t>CL000927</t>
        </is>
      </c>
      <c r="B928" t="inlineStr">
        <is>
          <t>not_invited</t>
        </is>
      </c>
    </row>
    <row r="929">
      <c r="A929" t="inlineStr">
        <is>
          <t>CL000928</t>
        </is>
      </c>
      <c r="B929" t="inlineStr">
        <is>
          <t>not_invited</t>
        </is>
      </c>
    </row>
    <row r="930">
      <c r="A930" t="inlineStr">
        <is>
          <t>CL000929</t>
        </is>
      </c>
      <c r="B930" t="inlineStr">
        <is>
          <t>not_invited</t>
        </is>
      </c>
    </row>
    <row r="931">
      <c r="A931" t="inlineStr">
        <is>
          <t>CL000930</t>
        </is>
      </c>
      <c r="B931" t="inlineStr">
        <is>
          <t>not_invited</t>
        </is>
      </c>
    </row>
    <row r="932">
      <c r="A932" t="inlineStr">
        <is>
          <t>CL000931</t>
        </is>
      </c>
      <c r="B932" t="inlineStr">
        <is>
          <t>not_invited</t>
        </is>
      </c>
    </row>
    <row r="933">
      <c r="A933" t="inlineStr">
        <is>
          <t>CL000932</t>
        </is>
      </c>
      <c r="B933" t="inlineStr">
        <is>
          <t>not_invited</t>
        </is>
      </c>
    </row>
    <row r="934">
      <c r="A934" t="inlineStr">
        <is>
          <t>CL000933</t>
        </is>
      </c>
      <c r="B934" t="inlineStr">
        <is>
          <t>not_invited</t>
        </is>
      </c>
    </row>
    <row r="935">
      <c r="A935" t="inlineStr">
        <is>
          <t>CL000934</t>
        </is>
      </c>
      <c r="B935" t="inlineStr">
        <is>
          <t>not_invited</t>
        </is>
      </c>
    </row>
    <row r="936">
      <c r="A936" t="inlineStr">
        <is>
          <t>CL000935</t>
        </is>
      </c>
      <c r="B936" t="inlineStr">
        <is>
          <t>not_invited</t>
        </is>
      </c>
    </row>
    <row r="937">
      <c r="A937" t="inlineStr">
        <is>
          <t>CL000936</t>
        </is>
      </c>
      <c r="B937" t="inlineStr">
        <is>
          <t>not_invited</t>
        </is>
      </c>
    </row>
    <row r="938">
      <c r="A938" t="inlineStr">
        <is>
          <t>CL000937</t>
        </is>
      </c>
      <c r="B938" t="inlineStr">
        <is>
          <t>not_invited</t>
        </is>
      </c>
    </row>
    <row r="939">
      <c r="A939" t="inlineStr">
        <is>
          <t>CL000938</t>
        </is>
      </c>
      <c r="B939" t="inlineStr">
        <is>
          <t>not_invited</t>
        </is>
      </c>
    </row>
    <row r="940">
      <c r="A940" t="inlineStr">
        <is>
          <t>CL000939</t>
        </is>
      </c>
      <c r="B940" t="inlineStr">
        <is>
          <t>not_invited</t>
        </is>
      </c>
    </row>
    <row r="941">
      <c r="A941" t="inlineStr">
        <is>
          <t>CL000940</t>
        </is>
      </c>
      <c r="B941" t="inlineStr">
        <is>
          <t>not_invited</t>
        </is>
      </c>
    </row>
    <row r="942">
      <c r="A942" t="inlineStr">
        <is>
          <t>CL000941</t>
        </is>
      </c>
      <c r="B942" t="inlineStr">
        <is>
          <t>not_invited</t>
        </is>
      </c>
    </row>
    <row r="943">
      <c r="A943" t="inlineStr">
        <is>
          <t>CL000942</t>
        </is>
      </c>
      <c r="B943" t="inlineStr">
        <is>
          <t>responded</t>
        </is>
      </c>
      <c r="C943" t="n">
        <v>0</v>
      </c>
      <c r="D943" t="n">
        <v>0</v>
      </c>
      <c r="E943" t="n">
        <v>35.29038396266813</v>
      </c>
    </row>
    <row r="944">
      <c r="A944" t="inlineStr">
        <is>
          <t>CL000943</t>
        </is>
      </c>
      <c r="B944" t="inlineStr">
        <is>
          <t>not_invited</t>
        </is>
      </c>
    </row>
    <row r="945">
      <c r="A945" t="inlineStr">
        <is>
          <t>CL000944</t>
        </is>
      </c>
      <c r="B945" t="inlineStr">
        <is>
          <t>responded</t>
        </is>
      </c>
      <c r="C945" t="n">
        <v>1</v>
      </c>
      <c r="D945" t="n">
        <v>1</v>
      </c>
      <c r="E945" t="n">
        <v>63.24711745155093</v>
      </c>
    </row>
    <row r="946">
      <c r="A946" t="inlineStr">
        <is>
          <t>CL000945</t>
        </is>
      </c>
      <c r="B946" t="inlineStr">
        <is>
          <t>not_invited</t>
        </is>
      </c>
    </row>
    <row r="947">
      <c r="A947" t="inlineStr">
        <is>
          <t>CL000946</t>
        </is>
      </c>
      <c r="B947" t="inlineStr">
        <is>
          <t>nonresponse</t>
        </is>
      </c>
    </row>
    <row r="948">
      <c r="A948" t="inlineStr">
        <is>
          <t>CL000947</t>
        </is>
      </c>
      <c r="B948" t="inlineStr">
        <is>
          <t>not_invited</t>
        </is>
      </c>
    </row>
    <row r="949">
      <c r="A949" t="inlineStr">
        <is>
          <t>CL000948</t>
        </is>
      </c>
      <c r="B949" t="inlineStr">
        <is>
          <t>not_invited</t>
        </is>
      </c>
    </row>
    <row r="950">
      <c r="A950" t="inlineStr">
        <is>
          <t>CL000949</t>
        </is>
      </c>
      <c r="B950" t="inlineStr">
        <is>
          <t>not_invited</t>
        </is>
      </c>
    </row>
    <row r="951">
      <c r="A951" t="inlineStr">
        <is>
          <t>CL000950</t>
        </is>
      </c>
      <c r="B951" t="inlineStr">
        <is>
          <t>nonresponse</t>
        </is>
      </c>
    </row>
    <row r="952">
      <c r="A952" t="inlineStr">
        <is>
          <t>CL000951</t>
        </is>
      </c>
      <c r="B952" t="inlineStr">
        <is>
          <t>not_invited</t>
        </is>
      </c>
    </row>
    <row r="953">
      <c r="A953" t="inlineStr">
        <is>
          <t>CL000952</t>
        </is>
      </c>
      <c r="B953" t="inlineStr">
        <is>
          <t>not_invited</t>
        </is>
      </c>
    </row>
    <row r="954">
      <c r="A954" t="inlineStr">
        <is>
          <t>CL000953</t>
        </is>
      </c>
      <c r="B954" t="inlineStr">
        <is>
          <t>not_invited</t>
        </is>
      </c>
    </row>
    <row r="955">
      <c r="A955" t="inlineStr">
        <is>
          <t>CL000954</t>
        </is>
      </c>
      <c r="B955" t="inlineStr">
        <is>
          <t>not_invited</t>
        </is>
      </c>
    </row>
    <row r="956">
      <c r="A956" t="inlineStr">
        <is>
          <t>CL000955</t>
        </is>
      </c>
      <c r="B956" t="inlineStr">
        <is>
          <t>not_invited</t>
        </is>
      </c>
    </row>
    <row r="957">
      <c r="A957" t="inlineStr">
        <is>
          <t>CL000956</t>
        </is>
      </c>
      <c r="B957" t="inlineStr">
        <is>
          <t>not_invited</t>
        </is>
      </c>
    </row>
    <row r="958">
      <c r="A958" t="inlineStr">
        <is>
          <t>CL000957</t>
        </is>
      </c>
      <c r="B958" t="inlineStr">
        <is>
          <t>not_invited</t>
        </is>
      </c>
    </row>
    <row r="959">
      <c r="A959" t="inlineStr">
        <is>
          <t>CL000958</t>
        </is>
      </c>
      <c r="B959" t="inlineStr">
        <is>
          <t>not_invited</t>
        </is>
      </c>
    </row>
    <row r="960">
      <c r="A960" t="inlineStr">
        <is>
          <t>CL000959</t>
        </is>
      </c>
      <c r="B960" t="inlineStr">
        <is>
          <t>not_invited</t>
        </is>
      </c>
    </row>
    <row r="961">
      <c r="A961" t="inlineStr">
        <is>
          <t>CL000960</t>
        </is>
      </c>
      <c r="B961" t="inlineStr">
        <is>
          <t>not_invited</t>
        </is>
      </c>
    </row>
    <row r="962">
      <c r="A962" t="inlineStr">
        <is>
          <t>CL000961</t>
        </is>
      </c>
      <c r="B962" t="inlineStr">
        <is>
          <t>not_invited</t>
        </is>
      </c>
    </row>
    <row r="963">
      <c r="A963" t="inlineStr">
        <is>
          <t>CL000962</t>
        </is>
      </c>
      <c r="B963" t="inlineStr">
        <is>
          <t>not_invited</t>
        </is>
      </c>
    </row>
    <row r="964">
      <c r="A964" t="inlineStr">
        <is>
          <t>CL000963</t>
        </is>
      </c>
      <c r="B964" t="inlineStr">
        <is>
          <t>not_invited</t>
        </is>
      </c>
    </row>
    <row r="965">
      <c r="A965" t="inlineStr">
        <is>
          <t>CL000964</t>
        </is>
      </c>
      <c r="B965" t="inlineStr">
        <is>
          <t>not_invited</t>
        </is>
      </c>
    </row>
    <row r="966">
      <c r="A966" t="inlineStr">
        <is>
          <t>CL000965</t>
        </is>
      </c>
      <c r="B966" t="inlineStr">
        <is>
          <t>not_invited</t>
        </is>
      </c>
    </row>
    <row r="967">
      <c r="A967" t="inlineStr">
        <is>
          <t>CL000966</t>
        </is>
      </c>
      <c r="B967" t="inlineStr">
        <is>
          <t>not_invited</t>
        </is>
      </c>
    </row>
    <row r="968">
      <c r="A968" t="inlineStr">
        <is>
          <t>CL000967</t>
        </is>
      </c>
      <c r="B968" t="inlineStr">
        <is>
          <t>not_invited</t>
        </is>
      </c>
    </row>
    <row r="969">
      <c r="A969" t="inlineStr">
        <is>
          <t>CL000968</t>
        </is>
      </c>
      <c r="B969" t="inlineStr">
        <is>
          <t>not_invited</t>
        </is>
      </c>
    </row>
    <row r="970">
      <c r="A970" t="inlineStr">
        <is>
          <t>CL000969</t>
        </is>
      </c>
      <c r="B970" t="inlineStr">
        <is>
          <t>not_invited</t>
        </is>
      </c>
    </row>
    <row r="971">
      <c r="A971" t="inlineStr">
        <is>
          <t>CL000970</t>
        </is>
      </c>
      <c r="B971" t="inlineStr">
        <is>
          <t>not_invited</t>
        </is>
      </c>
    </row>
    <row r="972">
      <c r="A972" t="inlineStr">
        <is>
          <t>CL000971</t>
        </is>
      </c>
      <c r="B972" t="inlineStr">
        <is>
          <t>not_invited</t>
        </is>
      </c>
    </row>
    <row r="973">
      <c r="A973" t="inlineStr">
        <is>
          <t>CL000972</t>
        </is>
      </c>
      <c r="B973" t="inlineStr">
        <is>
          <t>not_invited</t>
        </is>
      </c>
    </row>
    <row r="974">
      <c r="A974" t="inlineStr">
        <is>
          <t>CL000973</t>
        </is>
      </c>
      <c r="B974" t="inlineStr">
        <is>
          <t>not_invited</t>
        </is>
      </c>
    </row>
    <row r="975">
      <c r="A975" t="inlineStr">
        <is>
          <t>CL000974</t>
        </is>
      </c>
      <c r="B975" t="inlineStr">
        <is>
          <t>not_invited</t>
        </is>
      </c>
    </row>
    <row r="976">
      <c r="A976" t="inlineStr">
        <is>
          <t>CL000975</t>
        </is>
      </c>
      <c r="B976" t="inlineStr">
        <is>
          <t>not_invited</t>
        </is>
      </c>
    </row>
    <row r="977">
      <c r="A977" t="inlineStr">
        <is>
          <t>CL000976</t>
        </is>
      </c>
      <c r="B977" t="inlineStr">
        <is>
          <t>not_invited</t>
        </is>
      </c>
    </row>
    <row r="978">
      <c r="A978" t="inlineStr">
        <is>
          <t>CL000977</t>
        </is>
      </c>
      <c r="B978" t="inlineStr">
        <is>
          <t>not_invited</t>
        </is>
      </c>
    </row>
    <row r="979">
      <c r="A979" t="inlineStr">
        <is>
          <t>CL000978</t>
        </is>
      </c>
      <c r="B979" t="inlineStr">
        <is>
          <t>not_invited</t>
        </is>
      </c>
    </row>
    <row r="980">
      <c r="A980" t="inlineStr">
        <is>
          <t>CL000979</t>
        </is>
      </c>
      <c r="B980" t="inlineStr">
        <is>
          <t>not_invited</t>
        </is>
      </c>
    </row>
    <row r="981">
      <c r="A981" t="inlineStr">
        <is>
          <t>CL000980</t>
        </is>
      </c>
      <c r="B981" t="inlineStr">
        <is>
          <t>not_invited</t>
        </is>
      </c>
    </row>
    <row r="982">
      <c r="A982" t="inlineStr">
        <is>
          <t>CL000981</t>
        </is>
      </c>
      <c r="B982" t="inlineStr">
        <is>
          <t>not_invited</t>
        </is>
      </c>
    </row>
    <row r="983">
      <c r="A983" t="inlineStr">
        <is>
          <t>CL000982</t>
        </is>
      </c>
      <c r="B983" t="inlineStr">
        <is>
          <t>not_invited</t>
        </is>
      </c>
    </row>
    <row r="984">
      <c r="A984" t="inlineStr">
        <is>
          <t>CL000983</t>
        </is>
      </c>
      <c r="B984" t="inlineStr">
        <is>
          <t>nonresponse</t>
        </is>
      </c>
    </row>
    <row r="985">
      <c r="A985" t="inlineStr">
        <is>
          <t>CL000984</t>
        </is>
      </c>
      <c r="B985" t="inlineStr">
        <is>
          <t>not_invited</t>
        </is>
      </c>
    </row>
    <row r="986">
      <c r="A986" t="inlineStr">
        <is>
          <t>CL000985</t>
        </is>
      </c>
      <c r="B986" t="inlineStr">
        <is>
          <t>not_invited</t>
        </is>
      </c>
    </row>
    <row r="987">
      <c r="A987" t="inlineStr">
        <is>
          <t>CL000986</t>
        </is>
      </c>
      <c r="B987" t="inlineStr">
        <is>
          <t>not_invited</t>
        </is>
      </c>
    </row>
    <row r="988">
      <c r="A988" t="inlineStr">
        <is>
          <t>CL000987</t>
        </is>
      </c>
      <c r="B988" t="inlineStr">
        <is>
          <t>not_invited</t>
        </is>
      </c>
    </row>
    <row r="989">
      <c r="A989" t="inlineStr">
        <is>
          <t>CL000988</t>
        </is>
      </c>
      <c r="B989" t="inlineStr">
        <is>
          <t>not_invited</t>
        </is>
      </c>
    </row>
    <row r="990">
      <c r="A990" t="inlineStr">
        <is>
          <t>CL000989</t>
        </is>
      </c>
      <c r="B990" t="inlineStr">
        <is>
          <t>not_invited</t>
        </is>
      </c>
    </row>
    <row r="991">
      <c r="A991" t="inlineStr">
        <is>
          <t>CL000990</t>
        </is>
      </c>
      <c r="B991" t="inlineStr">
        <is>
          <t>not_invited</t>
        </is>
      </c>
    </row>
    <row r="992">
      <c r="A992" t="inlineStr">
        <is>
          <t>CL000991</t>
        </is>
      </c>
      <c r="B992" t="inlineStr">
        <is>
          <t>not_invited</t>
        </is>
      </c>
    </row>
    <row r="993">
      <c r="A993" t="inlineStr">
        <is>
          <t>CL000992</t>
        </is>
      </c>
      <c r="B993" t="inlineStr">
        <is>
          <t>not_invited</t>
        </is>
      </c>
    </row>
    <row r="994">
      <c r="A994" t="inlineStr">
        <is>
          <t>CL000993</t>
        </is>
      </c>
      <c r="B994" t="inlineStr">
        <is>
          <t>not_invited</t>
        </is>
      </c>
    </row>
    <row r="995">
      <c r="A995" t="inlineStr">
        <is>
          <t>CL000994</t>
        </is>
      </c>
      <c r="B995" t="inlineStr">
        <is>
          <t>not_invited</t>
        </is>
      </c>
    </row>
    <row r="996">
      <c r="A996" t="inlineStr">
        <is>
          <t>CL000995</t>
        </is>
      </c>
      <c r="B996" t="inlineStr">
        <is>
          <t>not_invited</t>
        </is>
      </c>
    </row>
    <row r="997">
      <c r="A997" t="inlineStr">
        <is>
          <t>CL000996</t>
        </is>
      </c>
      <c r="B997" t="inlineStr">
        <is>
          <t>not_invited</t>
        </is>
      </c>
    </row>
    <row r="998">
      <c r="A998" t="inlineStr">
        <is>
          <t>CL000997</t>
        </is>
      </c>
      <c r="B998" t="inlineStr">
        <is>
          <t>not_invited</t>
        </is>
      </c>
    </row>
    <row r="999">
      <c r="A999" t="inlineStr">
        <is>
          <t>CL000998</t>
        </is>
      </c>
      <c r="B999" t="inlineStr">
        <is>
          <t>not_invited</t>
        </is>
      </c>
    </row>
    <row r="1000">
      <c r="A1000" t="inlineStr">
        <is>
          <t>CL000999</t>
        </is>
      </c>
      <c r="B1000" t="inlineStr">
        <is>
          <t>not_invited</t>
        </is>
      </c>
    </row>
    <row r="1001">
      <c r="A1001" t="inlineStr">
        <is>
          <t>CL001000</t>
        </is>
      </c>
      <c r="B1001" t="inlineStr">
        <is>
          <t>not_invited</t>
        </is>
      </c>
    </row>
    <row r="1002">
      <c r="A1002" t="inlineStr">
        <is>
          <t>CL001001</t>
        </is>
      </c>
      <c r="B1002" t="inlineStr">
        <is>
          <t>not_invited</t>
        </is>
      </c>
    </row>
    <row r="1003">
      <c r="A1003" t="inlineStr">
        <is>
          <t>CL001002</t>
        </is>
      </c>
      <c r="B1003" t="inlineStr">
        <is>
          <t>not_invited</t>
        </is>
      </c>
    </row>
    <row r="1004">
      <c r="A1004" t="inlineStr">
        <is>
          <t>CL001003</t>
        </is>
      </c>
      <c r="B1004" t="inlineStr">
        <is>
          <t>not_invited</t>
        </is>
      </c>
    </row>
    <row r="1005">
      <c r="A1005" t="inlineStr">
        <is>
          <t>CL001004</t>
        </is>
      </c>
      <c r="B1005" t="inlineStr">
        <is>
          <t>not_invited</t>
        </is>
      </c>
    </row>
    <row r="1006">
      <c r="A1006" t="inlineStr">
        <is>
          <t>CL001005</t>
        </is>
      </c>
      <c r="B1006" t="inlineStr">
        <is>
          <t>not_invited</t>
        </is>
      </c>
    </row>
    <row r="1007">
      <c r="A1007" t="inlineStr">
        <is>
          <t>CL001006</t>
        </is>
      </c>
      <c r="B1007" t="inlineStr">
        <is>
          <t>not_invited</t>
        </is>
      </c>
    </row>
    <row r="1008">
      <c r="A1008" t="inlineStr">
        <is>
          <t>CL001007</t>
        </is>
      </c>
      <c r="B1008" t="inlineStr">
        <is>
          <t>not_invited</t>
        </is>
      </c>
    </row>
    <row r="1009">
      <c r="A1009" t="inlineStr">
        <is>
          <t>CL001008</t>
        </is>
      </c>
      <c r="B1009" t="inlineStr">
        <is>
          <t>not_invited</t>
        </is>
      </c>
    </row>
    <row r="1010">
      <c r="A1010" t="inlineStr">
        <is>
          <t>CL001009</t>
        </is>
      </c>
      <c r="B1010" t="inlineStr">
        <is>
          <t>not_invited</t>
        </is>
      </c>
    </row>
    <row r="1011">
      <c r="A1011" t="inlineStr">
        <is>
          <t>CL001010</t>
        </is>
      </c>
      <c r="B1011" t="inlineStr">
        <is>
          <t>not_invited</t>
        </is>
      </c>
    </row>
    <row r="1012">
      <c r="A1012" t="inlineStr">
        <is>
          <t>CL001011</t>
        </is>
      </c>
      <c r="B1012" t="inlineStr">
        <is>
          <t>not_invited</t>
        </is>
      </c>
    </row>
    <row r="1013">
      <c r="A1013" t="inlineStr">
        <is>
          <t>CL001012</t>
        </is>
      </c>
      <c r="B1013" t="inlineStr">
        <is>
          <t>nonresponse</t>
        </is>
      </c>
    </row>
    <row r="1014">
      <c r="A1014" t="inlineStr">
        <is>
          <t>CL001013</t>
        </is>
      </c>
      <c r="B1014" t="inlineStr">
        <is>
          <t>not_invited</t>
        </is>
      </c>
    </row>
    <row r="1015">
      <c r="A1015" t="inlineStr">
        <is>
          <t>CL001014</t>
        </is>
      </c>
      <c r="B1015" t="inlineStr">
        <is>
          <t>not_invited</t>
        </is>
      </c>
    </row>
    <row r="1016">
      <c r="A1016" t="inlineStr">
        <is>
          <t>CL001015</t>
        </is>
      </c>
      <c r="B1016" t="inlineStr">
        <is>
          <t>not_invited</t>
        </is>
      </c>
    </row>
    <row r="1017">
      <c r="A1017" t="inlineStr">
        <is>
          <t>CL001016</t>
        </is>
      </c>
      <c r="B1017" t="inlineStr">
        <is>
          <t>not_invited</t>
        </is>
      </c>
    </row>
    <row r="1018">
      <c r="A1018" t="inlineStr">
        <is>
          <t>CL001017</t>
        </is>
      </c>
      <c r="B1018" t="inlineStr">
        <is>
          <t>not_invited</t>
        </is>
      </c>
    </row>
    <row r="1019">
      <c r="A1019" t="inlineStr">
        <is>
          <t>CL001018</t>
        </is>
      </c>
      <c r="B1019" t="inlineStr">
        <is>
          <t>not_invited</t>
        </is>
      </c>
    </row>
    <row r="1020">
      <c r="A1020" t="inlineStr">
        <is>
          <t>CL001019</t>
        </is>
      </c>
      <c r="B1020" t="inlineStr">
        <is>
          <t>not_invited</t>
        </is>
      </c>
    </row>
    <row r="1021">
      <c r="A1021" t="inlineStr">
        <is>
          <t>CL001020</t>
        </is>
      </c>
      <c r="B1021" t="inlineStr">
        <is>
          <t>not_invited</t>
        </is>
      </c>
    </row>
    <row r="1022">
      <c r="A1022" t="inlineStr">
        <is>
          <t>CL001021</t>
        </is>
      </c>
      <c r="B1022" t="inlineStr">
        <is>
          <t>not_invited</t>
        </is>
      </c>
    </row>
    <row r="1023">
      <c r="A1023" t="inlineStr">
        <is>
          <t>CL001022</t>
        </is>
      </c>
      <c r="B1023" t="inlineStr">
        <is>
          <t>not_invited</t>
        </is>
      </c>
    </row>
    <row r="1024">
      <c r="A1024" t="inlineStr">
        <is>
          <t>CL001023</t>
        </is>
      </c>
      <c r="B1024" t="inlineStr">
        <is>
          <t>not_invited</t>
        </is>
      </c>
    </row>
    <row r="1025">
      <c r="A1025" t="inlineStr">
        <is>
          <t>CL001024</t>
        </is>
      </c>
      <c r="B1025" t="inlineStr">
        <is>
          <t>not_invited</t>
        </is>
      </c>
    </row>
    <row r="1026">
      <c r="A1026" t="inlineStr">
        <is>
          <t>CL001025</t>
        </is>
      </c>
      <c r="B1026" t="inlineStr">
        <is>
          <t>not_invited</t>
        </is>
      </c>
    </row>
    <row r="1027">
      <c r="A1027" t="inlineStr">
        <is>
          <t>CL001026</t>
        </is>
      </c>
      <c r="B1027" t="inlineStr">
        <is>
          <t>not_invited</t>
        </is>
      </c>
    </row>
    <row r="1028">
      <c r="A1028" t="inlineStr">
        <is>
          <t>CL001027</t>
        </is>
      </c>
      <c r="B1028" t="inlineStr">
        <is>
          <t>not_invited</t>
        </is>
      </c>
    </row>
    <row r="1029">
      <c r="A1029" t="inlineStr">
        <is>
          <t>CL001028</t>
        </is>
      </c>
      <c r="B1029" t="inlineStr">
        <is>
          <t>not_invited</t>
        </is>
      </c>
    </row>
    <row r="1030">
      <c r="A1030" t="inlineStr">
        <is>
          <t>CL001029</t>
        </is>
      </c>
      <c r="B1030" t="inlineStr">
        <is>
          <t>not_invited</t>
        </is>
      </c>
    </row>
    <row r="1031">
      <c r="A1031" t="inlineStr">
        <is>
          <t>CL001030</t>
        </is>
      </c>
      <c r="B1031" t="inlineStr">
        <is>
          <t>not_invited</t>
        </is>
      </c>
    </row>
    <row r="1032">
      <c r="A1032" t="inlineStr">
        <is>
          <t>CL001031</t>
        </is>
      </c>
      <c r="B1032" t="inlineStr">
        <is>
          <t>not_invited</t>
        </is>
      </c>
    </row>
    <row r="1033">
      <c r="A1033" t="inlineStr">
        <is>
          <t>CL001032</t>
        </is>
      </c>
      <c r="B1033" t="inlineStr">
        <is>
          <t>not_invited</t>
        </is>
      </c>
    </row>
    <row r="1034">
      <c r="A1034" t="inlineStr">
        <is>
          <t>CL001033</t>
        </is>
      </c>
      <c r="B1034" t="inlineStr">
        <is>
          <t>not_invited</t>
        </is>
      </c>
    </row>
    <row r="1035">
      <c r="A1035" t="inlineStr">
        <is>
          <t>CL001034</t>
        </is>
      </c>
      <c r="B1035" t="inlineStr">
        <is>
          <t>not_invited</t>
        </is>
      </c>
    </row>
    <row r="1036">
      <c r="A1036" t="inlineStr">
        <is>
          <t>CL001035</t>
        </is>
      </c>
      <c r="B1036" t="inlineStr">
        <is>
          <t>responded</t>
        </is>
      </c>
      <c r="C1036" t="n">
        <v>0</v>
      </c>
      <c r="D1036" t="n">
        <v>0</v>
      </c>
      <c r="E1036" t="n">
        <v>35.29038396266813</v>
      </c>
    </row>
    <row r="1037">
      <c r="A1037" t="inlineStr">
        <is>
          <t>CL001036</t>
        </is>
      </c>
      <c r="B1037" t="inlineStr">
        <is>
          <t>responded</t>
        </is>
      </c>
      <c r="C1037" t="n">
        <v>0</v>
      </c>
      <c r="D1037" t="n">
        <v>0</v>
      </c>
      <c r="E1037" t="n">
        <v>35.29038396266813</v>
      </c>
    </row>
    <row r="1038">
      <c r="A1038" t="inlineStr">
        <is>
          <t>CL001037</t>
        </is>
      </c>
      <c r="B1038" t="inlineStr">
        <is>
          <t>not_invited</t>
        </is>
      </c>
    </row>
    <row r="1039">
      <c r="A1039" t="inlineStr">
        <is>
          <t>CL001038</t>
        </is>
      </c>
      <c r="B1039" t="inlineStr">
        <is>
          <t>not_invited</t>
        </is>
      </c>
    </row>
    <row r="1040">
      <c r="A1040" t="inlineStr">
        <is>
          <t>CL001039</t>
        </is>
      </c>
      <c r="B1040" t="inlineStr">
        <is>
          <t>not_invited</t>
        </is>
      </c>
    </row>
    <row r="1041">
      <c r="A1041" t="inlineStr">
        <is>
          <t>CL001040</t>
        </is>
      </c>
      <c r="B1041" t="inlineStr">
        <is>
          <t>not_invited</t>
        </is>
      </c>
    </row>
    <row r="1042">
      <c r="A1042" t="inlineStr">
        <is>
          <t>CL001041</t>
        </is>
      </c>
      <c r="B1042" t="inlineStr">
        <is>
          <t>not_invited</t>
        </is>
      </c>
    </row>
    <row r="1043">
      <c r="A1043" t="inlineStr">
        <is>
          <t>CL001042</t>
        </is>
      </c>
      <c r="B1043" t="inlineStr">
        <is>
          <t>not_invited</t>
        </is>
      </c>
    </row>
    <row r="1044">
      <c r="A1044" t="inlineStr">
        <is>
          <t>CL001043</t>
        </is>
      </c>
      <c r="B1044" t="inlineStr">
        <is>
          <t>not_invited</t>
        </is>
      </c>
    </row>
    <row r="1045">
      <c r="A1045" t="inlineStr">
        <is>
          <t>CL001044</t>
        </is>
      </c>
      <c r="B1045" t="inlineStr">
        <is>
          <t>not_invited</t>
        </is>
      </c>
    </row>
    <row r="1046">
      <c r="A1046" t="inlineStr">
        <is>
          <t>CL001045</t>
        </is>
      </c>
      <c r="B1046" t="inlineStr">
        <is>
          <t>not_invited</t>
        </is>
      </c>
    </row>
    <row r="1047">
      <c r="A1047" t="inlineStr">
        <is>
          <t>CL001046</t>
        </is>
      </c>
      <c r="B1047" t="inlineStr">
        <is>
          <t>not_invited</t>
        </is>
      </c>
    </row>
    <row r="1048">
      <c r="A1048" t="inlineStr">
        <is>
          <t>CL001047</t>
        </is>
      </c>
      <c r="B1048" t="inlineStr">
        <is>
          <t>responded</t>
        </is>
      </c>
      <c r="C1048" t="n">
        <v>0</v>
      </c>
      <c r="D1048" t="n">
        <v>0</v>
      </c>
      <c r="E1048" t="n">
        <v>35.29038396266813</v>
      </c>
    </row>
    <row r="1049">
      <c r="A1049" t="inlineStr">
        <is>
          <t>CL001048</t>
        </is>
      </c>
      <c r="B1049" t="inlineStr">
        <is>
          <t>not_invited</t>
        </is>
      </c>
    </row>
    <row r="1050">
      <c r="A1050" t="inlineStr">
        <is>
          <t>CL001049</t>
        </is>
      </c>
      <c r="B1050" t="inlineStr">
        <is>
          <t>not_invited</t>
        </is>
      </c>
    </row>
    <row r="1051">
      <c r="A1051" t="inlineStr">
        <is>
          <t>CL001050</t>
        </is>
      </c>
      <c r="B1051" t="inlineStr">
        <is>
          <t>not_invited</t>
        </is>
      </c>
    </row>
    <row r="1052">
      <c r="A1052" t="inlineStr">
        <is>
          <t>CL001051</t>
        </is>
      </c>
      <c r="B1052" t="inlineStr">
        <is>
          <t>not_invited</t>
        </is>
      </c>
    </row>
    <row r="1053">
      <c r="A1053" t="inlineStr">
        <is>
          <t>CL001052</t>
        </is>
      </c>
      <c r="B1053" t="inlineStr">
        <is>
          <t>not_invited</t>
        </is>
      </c>
    </row>
    <row r="1054">
      <c r="A1054" t="inlineStr">
        <is>
          <t>CL001053</t>
        </is>
      </c>
      <c r="B1054" t="inlineStr">
        <is>
          <t>not_invited</t>
        </is>
      </c>
    </row>
    <row r="1055">
      <c r="A1055" t="inlineStr">
        <is>
          <t>CL001054</t>
        </is>
      </c>
      <c r="B1055" t="inlineStr">
        <is>
          <t>not_invited</t>
        </is>
      </c>
    </row>
    <row r="1056">
      <c r="A1056" t="inlineStr">
        <is>
          <t>CL001055</t>
        </is>
      </c>
      <c r="B1056" t="inlineStr">
        <is>
          <t>not_invited</t>
        </is>
      </c>
    </row>
    <row r="1057">
      <c r="A1057" t="inlineStr">
        <is>
          <t>CL001056</t>
        </is>
      </c>
      <c r="B1057" t="inlineStr">
        <is>
          <t>responded</t>
        </is>
      </c>
      <c r="C1057" t="n">
        <v>0</v>
      </c>
      <c r="D1057" t="n">
        <v>0</v>
      </c>
      <c r="E1057" t="n">
        <v>35.29038396266813</v>
      </c>
    </row>
    <row r="1058">
      <c r="A1058" t="inlineStr">
        <is>
          <t>CL001057</t>
        </is>
      </c>
      <c r="B1058" t="inlineStr">
        <is>
          <t>not_invited</t>
        </is>
      </c>
    </row>
    <row r="1059">
      <c r="A1059" t="inlineStr">
        <is>
          <t>CL001058</t>
        </is>
      </c>
      <c r="B1059" t="inlineStr">
        <is>
          <t>not_invited</t>
        </is>
      </c>
    </row>
    <row r="1060">
      <c r="A1060" t="inlineStr">
        <is>
          <t>CL001059</t>
        </is>
      </c>
      <c r="B1060" t="inlineStr">
        <is>
          <t>not_invited</t>
        </is>
      </c>
    </row>
    <row r="1061">
      <c r="A1061" t="inlineStr">
        <is>
          <t>CL001060</t>
        </is>
      </c>
      <c r="B1061" t="inlineStr">
        <is>
          <t>not_invited</t>
        </is>
      </c>
    </row>
    <row r="1062">
      <c r="A1062" t="inlineStr">
        <is>
          <t>CL001061</t>
        </is>
      </c>
      <c r="B1062" t="inlineStr">
        <is>
          <t>not_invited</t>
        </is>
      </c>
    </row>
    <row r="1063">
      <c r="A1063" t="inlineStr">
        <is>
          <t>CL001062</t>
        </is>
      </c>
      <c r="B1063" t="inlineStr">
        <is>
          <t>not_invited</t>
        </is>
      </c>
    </row>
    <row r="1064">
      <c r="A1064" t="inlineStr">
        <is>
          <t>CL001063</t>
        </is>
      </c>
      <c r="B1064" t="inlineStr">
        <is>
          <t>not_invited</t>
        </is>
      </c>
    </row>
    <row r="1065">
      <c r="A1065" t="inlineStr">
        <is>
          <t>CL001064</t>
        </is>
      </c>
      <c r="B1065" t="inlineStr">
        <is>
          <t>not_invited</t>
        </is>
      </c>
    </row>
    <row r="1066">
      <c r="A1066" t="inlineStr">
        <is>
          <t>CL001065</t>
        </is>
      </c>
      <c r="B1066" t="inlineStr">
        <is>
          <t>not_invited</t>
        </is>
      </c>
    </row>
    <row r="1067">
      <c r="A1067" t="inlineStr">
        <is>
          <t>CL001066</t>
        </is>
      </c>
      <c r="B1067" t="inlineStr">
        <is>
          <t>not_invited</t>
        </is>
      </c>
    </row>
    <row r="1068">
      <c r="A1068" t="inlineStr">
        <is>
          <t>CL001067</t>
        </is>
      </c>
      <c r="B1068" t="inlineStr">
        <is>
          <t>not_invited</t>
        </is>
      </c>
    </row>
    <row r="1069">
      <c r="A1069" t="inlineStr">
        <is>
          <t>CL001068</t>
        </is>
      </c>
      <c r="B1069" t="inlineStr">
        <is>
          <t>not_invited</t>
        </is>
      </c>
    </row>
    <row r="1070">
      <c r="A1070" t="inlineStr">
        <is>
          <t>CL001069</t>
        </is>
      </c>
      <c r="B1070" t="inlineStr">
        <is>
          <t>not_invited</t>
        </is>
      </c>
    </row>
    <row r="1071">
      <c r="A1071" t="inlineStr">
        <is>
          <t>CL001070</t>
        </is>
      </c>
      <c r="B1071" t="inlineStr">
        <is>
          <t>not_invited</t>
        </is>
      </c>
    </row>
    <row r="1072">
      <c r="A1072" t="inlineStr">
        <is>
          <t>CL001071</t>
        </is>
      </c>
      <c r="B1072" t="inlineStr">
        <is>
          <t>not_invited</t>
        </is>
      </c>
    </row>
    <row r="1073">
      <c r="A1073" t="inlineStr">
        <is>
          <t>CL001072</t>
        </is>
      </c>
      <c r="B1073" t="inlineStr">
        <is>
          <t>not_invited</t>
        </is>
      </c>
    </row>
    <row r="1074">
      <c r="A1074" t="inlineStr">
        <is>
          <t>CL001073</t>
        </is>
      </c>
      <c r="B1074" t="inlineStr">
        <is>
          <t>not_invited</t>
        </is>
      </c>
    </row>
    <row r="1075">
      <c r="A1075" t="inlineStr">
        <is>
          <t>CL001074</t>
        </is>
      </c>
      <c r="B1075" t="inlineStr">
        <is>
          <t>not_invited</t>
        </is>
      </c>
    </row>
    <row r="1076">
      <c r="A1076" t="inlineStr">
        <is>
          <t>CL001075</t>
        </is>
      </c>
      <c r="B1076" t="inlineStr">
        <is>
          <t>not_invited</t>
        </is>
      </c>
    </row>
    <row r="1077">
      <c r="A1077" t="inlineStr">
        <is>
          <t>CL001076</t>
        </is>
      </c>
      <c r="B1077" t="inlineStr">
        <is>
          <t>not_invited</t>
        </is>
      </c>
    </row>
    <row r="1078">
      <c r="A1078" t="inlineStr">
        <is>
          <t>CL001077</t>
        </is>
      </c>
      <c r="B1078" t="inlineStr">
        <is>
          <t>not_invited</t>
        </is>
      </c>
    </row>
    <row r="1079">
      <c r="A1079" t="inlineStr">
        <is>
          <t>CL001078</t>
        </is>
      </c>
      <c r="B1079" t="inlineStr">
        <is>
          <t>not_invited</t>
        </is>
      </c>
    </row>
    <row r="1080">
      <c r="A1080" t="inlineStr">
        <is>
          <t>CL001079</t>
        </is>
      </c>
      <c r="B1080" t="inlineStr">
        <is>
          <t>not_invited</t>
        </is>
      </c>
    </row>
    <row r="1081">
      <c r="A1081" t="inlineStr">
        <is>
          <t>CL001080</t>
        </is>
      </c>
      <c r="B1081" t="inlineStr">
        <is>
          <t>not_invited</t>
        </is>
      </c>
    </row>
    <row r="1082">
      <c r="A1082" t="inlineStr">
        <is>
          <t>CL001081</t>
        </is>
      </c>
      <c r="B1082" t="inlineStr">
        <is>
          <t>not_invited</t>
        </is>
      </c>
    </row>
    <row r="1083">
      <c r="A1083" t="inlineStr">
        <is>
          <t>CL001082</t>
        </is>
      </c>
      <c r="B1083" t="inlineStr">
        <is>
          <t>not_invited</t>
        </is>
      </c>
    </row>
    <row r="1084">
      <c r="A1084" t="inlineStr">
        <is>
          <t>CL001083</t>
        </is>
      </c>
      <c r="B1084" t="inlineStr">
        <is>
          <t>not_invited</t>
        </is>
      </c>
    </row>
    <row r="1085">
      <c r="A1085" t="inlineStr">
        <is>
          <t>CL001084</t>
        </is>
      </c>
      <c r="B1085" t="inlineStr">
        <is>
          <t>not_invited</t>
        </is>
      </c>
    </row>
    <row r="1086">
      <c r="A1086" t="inlineStr">
        <is>
          <t>CL001085</t>
        </is>
      </c>
      <c r="B1086" t="inlineStr">
        <is>
          <t>not_invited</t>
        </is>
      </c>
    </row>
    <row r="1087">
      <c r="A1087" t="inlineStr">
        <is>
          <t>CL001086</t>
        </is>
      </c>
      <c r="B1087" t="inlineStr">
        <is>
          <t>not_invited</t>
        </is>
      </c>
    </row>
    <row r="1088">
      <c r="A1088" t="inlineStr">
        <is>
          <t>CL001087</t>
        </is>
      </c>
      <c r="B1088" t="inlineStr">
        <is>
          <t>not_invited</t>
        </is>
      </c>
    </row>
    <row r="1089">
      <c r="A1089" t="inlineStr">
        <is>
          <t>CL001088</t>
        </is>
      </c>
      <c r="B1089" t="inlineStr">
        <is>
          <t>not_invited</t>
        </is>
      </c>
    </row>
    <row r="1090">
      <c r="A1090" t="inlineStr">
        <is>
          <t>CL001089</t>
        </is>
      </c>
      <c r="B1090" t="inlineStr">
        <is>
          <t>not_invited</t>
        </is>
      </c>
    </row>
    <row r="1091">
      <c r="A1091" t="inlineStr">
        <is>
          <t>CL001090</t>
        </is>
      </c>
      <c r="B1091" t="inlineStr">
        <is>
          <t>not_invited</t>
        </is>
      </c>
    </row>
    <row r="1092">
      <c r="A1092" t="inlineStr">
        <is>
          <t>CL001091</t>
        </is>
      </c>
      <c r="B1092" t="inlineStr">
        <is>
          <t>responded</t>
        </is>
      </c>
      <c r="C1092" t="n">
        <v>0</v>
      </c>
      <c r="D1092" t="n">
        <v>0</v>
      </c>
      <c r="E1092" t="n">
        <v>35.29038396266813</v>
      </c>
    </row>
    <row r="1093">
      <c r="A1093" t="inlineStr">
        <is>
          <t>CL001092</t>
        </is>
      </c>
      <c r="B1093" t="inlineStr">
        <is>
          <t>not_invited</t>
        </is>
      </c>
    </row>
    <row r="1094">
      <c r="A1094" t="inlineStr">
        <is>
          <t>CL001093</t>
        </is>
      </c>
      <c r="B1094" t="inlineStr">
        <is>
          <t>not_invited</t>
        </is>
      </c>
    </row>
    <row r="1095">
      <c r="A1095" t="inlineStr">
        <is>
          <t>CL001094</t>
        </is>
      </c>
      <c r="B1095" t="inlineStr">
        <is>
          <t>not_invited</t>
        </is>
      </c>
    </row>
    <row r="1096">
      <c r="A1096" t="inlineStr">
        <is>
          <t>CL001095</t>
        </is>
      </c>
      <c r="B1096" t="inlineStr">
        <is>
          <t>not_invited</t>
        </is>
      </c>
    </row>
    <row r="1097">
      <c r="A1097" t="inlineStr">
        <is>
          <t>CL001096</t>
        </is>
      </c>
      <c r="B1097" t="inlineStr">
        <is>
          <t>not_invited</t>
        </is>
      </c>
    </row>
    <row r="1098">
      <c r="A1098" t="inlineStr">
        <is>
          <t>CL001097</t>
        </is>
      </c>
      <c r="B1098" t="inlineStr">
        <is>
          <t>responded</t>
        </is>
      </c>
      <c r="C1098" t="n">
        <v>0</v>
      </c>
      <c r="D1098" t="n">
        <v>0</v>
      </c>
      <c r="E1098" t="n">
        <v>35.29038396266813</v>
      </c>
    </row>
    <row r="1099">
      <c r="A1099" t="inlineStr">
        <is>
          <t>CL001098</t>
        </is>
      </c>
      <c r="B1099" t="inlineStr">
        <is>
          <t>not_invited</t>
        </is>
      </c>
    </row>
    <row r="1100">
      <c r="A1100" t="inlineStr">
        <is>
          <t>CL001099</t>
        </is>
      </c>
      <c r="B1100" t="inlineStr">
        <is>
          <t>not_invited</t>
        </is>
      </c>
    </row>
    <row r="1101">
      <c r="A1101" t="inlineStr">
        <is>
          <t>CL001100</t>
        </is>
      </c>
      <c r="B1101" t="inlineStr">
        <is>
          <t>not_invited</t>
        </is>
      </c>
    </row>
    <row r="1102">
      <c r="A1102" t="inlineStr">
        <is>
          <t>CL001101</t>
        </is>
      </c>
      <c r="B1102" t="inlineStr">
        <is>
          <t>not_invited</t>
        </is>
      </c>
    </row>
    <row r="1103">
      <c r="A1103" t="inlineStr">
        <is>
          <t>CL001102</t>
        </is>
      </c>
      <c r="B1103" t="inlineStr">
        <is>
          <t>not_invited</t>
        </is>
      </c>
    </row>
    <row r="1104">
      <c r="A1104" t="inlineStr">
        <is>
          <t>CL001103</t>
        </is>
      </c>
      <c r="B1104" t="inlineStr">
        <is>
          <t>not_invited</t>
        </is>
      </c>
    </row>
    <row r="1105">
      <c r="A1105" t="inlineStr">
        <is>
          <t>CL001104</t>
        </is>
      </c>
      <c r="B1105" t="inlineStr">
        <is>
          <t>not_invited</t>
        </is>
      </c>
    </row>
    <row r="1106">
      <c r="A1106" t="inlineStr">
        <is>
          <t>CL001105</t>
        </is>
      </c>
      <c r="B1106" t="inlineStr">
        <is>
          <t>not_invited</t>
        </is>
      </c>
    </row>
    <row r="1107">
      <c r="A1107" t="inlineStr">
        <is>
          <t>CL001106</t>
        </is>
      </c>
      <c r="B1107" t="inlineStr">
        <is>
          <t>not_invited</t>
        </is>
      </c>
    </row>
    <row r="1108">
      <c r="A1108" t="inlineStr">
        <is>
          <t>CL001107</t>
        </is>
      </c>
      <c r="B1108" t="inlineStr">
        <is>
          <t>not_invited</t>
        </is>
      </c>
    </row>
    <row r="1109">
      <c r="A1109" t="inlineStr">
        <is>
          <t>CL001108</t>
        </is>
      </c>
      <c r="B1109" t="inlineStr">
        <is>
          <t>responded</t>
        </is>
      </c>
      <c r="C1109" t="n">
        <v>0</v>
      </c>
      <c r="D1109" t="n">
        <v>0</v>
      </c>
      <c r="E1109" t="n">
        <v>35.29038396266813</v>
      </c>
    </row>
    <row r="1110">
      <c r="A1110" t="inlineStr">
        <is>
          <t>CL001109</t>
        </is>
      </c>
      <c r="B1110" t="inlineStr">
        <is>
          <t>not_invited</t>
        </is>
      </c>
    </row>
    <row r="1111">
      <c r="A1111" t="inlineStr">
        <is>
          <t>CL001110</t>
        </is>
      </c>
      <c r="B1111" t="inlineStr">
        <is>
          <t>not_invited</t>
        </is>
      </c>
    </row>
    <row r="1112">
      <c r="A1112" t="inlineStr">
        <is>
          <t>CL001111</t>
        </is>
      </c>
      <c r="B1112" t="inlineStr">
        <is>
          <t>not_invited</t>
        </is>
      </c>
    </row>
    <row r="1113">
      <c r="A1113" t="inlineStr">
        <is>
          <t>CL001112</t>
        </is>
      </c>
      <c r="B1113" t="inlineStr">
        <is>
          <t>not_invited</t>
        </is>
      </c>
    </row>
    <row r="1114">
      <c r="A1114" t="inlineStr">
        <is>
          <t>CL001113</t>
        </is>
      </c>
      <c r="B1114" t="inlineStr">
        <is>
          <t>not_invited</t>
        </is>
      </c>
    </row>
    <row r="1115">
      <c r="A1115" t="inlineStr">
        <is>
          <t>CL001114</t>
        </is>
      </c>
      <c r="B1115" t="inlineStr">
        <is>
          <t>not_invited</t>
        </is>
      </c>
    </row>
    <row r="1116">
      <c r="A1116" t="inlineStr">
        <is>
          <t>CL001115</t>
        </is>
      </c>
      <c r="B1116" t="inlineStr">
        <is>
          <t>not_invited</t>
        </is>
      </c>
    </row>
    <row r="1117">
      <c r="A1117" t="inlineStr">
        <is>
          <t>CL001116</t>
        </is>
      </c>
      <c r="B1117" t="inlineStr">
        <is>
          <t>not_invited</t>
        </is>
      </c>
    </row>
    <row r="1118">
      <c r="A1118" t="inlineStr">
        <is>
          <t>CL001117</t>
        </is>
      </c>
      <c r="B1118" t="inlineStr">
        <is>
          <t>not_invited</t>
        </is>
      </c>
    </row>
    <row r="1119">
      <c r="A1119" t="inlineStr">
        <is>
          <t>CL001118</t>
        </is>
      </c>
      <c r="B1119" t="inlineStr">
        <is>
          <t>not_invited</t>
        </is>
      </c>
    </row>
    <row r="1120">
      <c r="A1120" t="inlineStr">
        <is>
          <t>CL001119</t>
        </is>
      </c>
      <c r="B1120" t="inlineStr">
        <is>
          <t>not_invited</t>
        </is>
      </c>
    </row>
    <row r="1121">
      <c r="A1121" t="inlineStr">
        <is>
          <t>CL001120</t>
        </is>
      </c>
      <c r="B1121" t="inlineStr">
        <is>
          <t>not_invited</t>
        </is>
      </c>
    </row>
    <row r="1122">
      <c r="A1122" t="inlineStr">
        <is>
          <t>CL001121</t>
        </is>
      </c>
      <c r="B1122" t="inlineStr">
        <is>
          <t>not_invited</t>
        </is>
      </c>
    </row>
    <row r="1123">
      <c r="A1123" t="inlineStr">
        <is>
          <t>CL001122</t>
        </is>
      </c>
      <c r="B1123" t="inlineStr">
        <is>
          <t>not_invited</t>
        </is>
      </c>
    </row>
    <row r="1124">
      <c r="A1124" t="inlineStr">
        <is>
          <t>CL001123</t>
        </is>
      </c>
      <c r="B1124" t="inlineStr">
        <is>
          <t>not_invited</t>
        </is>
      </c>
    </row>
    <row r="1125">
      <c r="A1125" t="inlineStr">
        <is>
          <t>CL001124</t>
        </is>
      </c>
      <c r="B1125" t="inlineStr">
        <is>
          <t>not_invited</t>
        </is>
      </c>
    </row>
    <row r="1126">
      <c r="A1126" t="inlineStr">
        <is>
          <t>CL001125</t>
        </is>
      </c>
      <c r="B1126" t="inlineStr">
        <is>
          <t>not_invited</t>
        </is>
      </c>
    </row>
    <row r="1127">
      <c r="A1127" t="inlineStr">
        <is>
          <t>CL001126</t>
        </is>
      </c>
      <c r="B1127" t="inlineStr">
        <is>
          <t>not_invited</t>
        </is>
      </c>
    </row>
    <row r="1128">
      <c r="A1128" t="inlineStr">
        <is>
          <t>CL001127</t>
        </is>
      </c>
      <c r="B1128" t="inlineStr">
        <is>
          <t>not_invited</t>
        </is>
      </c>
    </row>
    <row r="1129">
      <c r="A1129" t="inlineStr">
        <is>
          <t>CL001128</t>
        </is>
      </c>
      <c r="B1129" t="inlineStr">
        <is>
          <t>not_invited</t>
        </is>
      </c>
    </row>
    <row r="1130">
      <c r="A1130" t="inlineStr">
        <is>
          <t>CL001129</t>
        </is>
      </c>
      <c r="B1130" t="inlineStr">
        <is>
          <t>not_invited</t>
        </is>
      </c>
    </row>
    <row r="1131">
      <c r="A1131" t="inlineStr">
        <is>
          <t>CL001130</t>
        </is>
      </c>
      <c r="B1131" t="inlineStr">
        <is>
          <t>not_invited</t>
        </is>
      </c>
    </row>
    <row r="1132">
      <c r="A1132" t="inlineStr">
        <is>
          <t>CL001131</t>
        </is>
      </c>
      <c r="B1132" t="inlineStr">
        <is>
          <t>not_invited</t>
        </is>
      </c>
    </row>
    <row r="1133">
      <c r="A1133" t="inlineStr">
        <is>
          <t>CL001132</t>
        </is>
      </c>
      <c r="B1133" t="inlineStr">
        <is>
          <t>not_invited</t>
        </is>
      </c>
    </row>
    <row r="1134">
      <c r="A1134" t="inlineStr">
        <is>
          <t>CL001133</t>
        </is>
      </c>
      <c r="B1134" t="inlineStr">
        <is>
          <t>not_invited</t>
        </is>
      </c>
    </row>
    <row r="1135">
      <c r="A1135" t="inlineStr">
        <is>
          <t>CL001134</t>
        </is>
      </c>
      <c r="B1135" t="inlineStr">
        <is>
          <t>not_invited</t>
        </is>
      </c>
    </row>
    <row r="1136">
      <c r="A1136" t="inlineStr">
        <is>
          <t>CL001135</t>
        </is>
      </c>
      <c r="B1136" t="inlineStr">
        <is>
          <t>not_invited</t>
        </is>
      </c>
    </row>
    <row r="1137">
      <c r="A1137" t="inlineStr">
        <is>
          <t>CL001136</t>
        </is>
      </c>
      <c r="B1137" t="inlineStr">
        <is>
          <t>not_invited</t>
        </is>
      </c>
    </row>
    <row r="1138">
      <c r="A1138" t="inlineStr">
        <is>
          <t>CL001137</t>
        </is>
      </c>
      <c r="B1138" t="inlineStr">
        <is>
          <t>not_invited</t>
        </is>
      </c>
    </row>
    <row r="1139">
      <c r="A1139" t="inlineStr">
        <is>
          <t>CL001138</t>
        </is>
      </c>
      <c r="B1139" t="inlineStr">
        <is>
          <t>not_invited</t>
        </is>
      </c>
    </row>
    <row r="1140">
      <c r="A1140" t="inlineStr">
        <is>
          <t>CL001139</t>
        </is>
      </c>
      <c r="B1140" t="inlineStr">
        <is>
          <t>not_invited</t>
        </is>
      </c>
    </row>
    <row r="1141">
      <c r="A1141" t="inlineStr">
        <is>
          <t>CL001140</t>
        </is>
      </c>
      <c r="B1141" t="inlineStr">
        <is>
          <t>responded</t>
        </is>
      </c>
      <c r="C1141" t="n">
        <v>0</v>
      </c>
      <c r="D1141" t="n">
        <v>0</v>
      </c>
      <c r="E1141" t="n">
        <v>35.29038396266813</v>
      </c>
    </row>
    <row r="1142">
      <c r="A1142" t="inlineStr">
        <is>
          <t>CL001141</t>
        </is>
      </c>
      <c r="B1142" t="inlineStr">
        <is>
          <t>not_invited</t>
        </is>
      </c>
    </row>
    <row r="1143">
      <c r="A1143" t="inlineStr">
        <is>
          <t>CL001142</t>
        </is>
      </c>
      <c r="B1143" t="inlineStr">
        <is>
          <t>not_invited</t>
        </is>
      </c>
    </row>
    <row r="1144">
      <c r="A1144" t="inlineStr">
        <is>
          <t>CL001143</t>
        </is>
      </c>
      <c r="B1144" t="inlineStr">
        <is>
          <t>not_invited</t>
        </is>
      </c>
    </row>
    <row r="1145">
      <c r="A1145" t="inlineStr">
        <is>
          <t>CL001144</t>
        </is>
      </c>
      <c r="B1145" t="inlineStr">
        <is>
          <t>not_invited</t>
        </is>
      </c>
    </row>
    <row r="1146">
      <c r="A1146" t="inlineStr">
        <is>
          <t>CL001145</t>
        </is>
      </c>
      <c r="B1146" t="inlineStr">
        <is>
          <t>responded</t>
        </is>
      </c>
      <c r="C1146" t="n">
        <v>0</v>
      </c>
      <c r="D1146" t="n">
        <v>0</v>
      </c>
      <c r="E1146" t="n">
        <v>35.29038396266813</v>
      </c>
    </row>
    <row r="1147">
      <c r="A1147" t="inlineStr">
        <is>
          <t>CL001146</t>
        </is>
      </c>
      <c r="B1147" t="inlineStr">
        <is>
          <t>not_invited</t>
        </is>
      </c>
    </row>
    <row r="1148">
      <c r="A1148" t="inlineStr">
        <is>
          <t>CL001147</t>
        </is>
      </c>
      <c r="B1148" t="inlineStr">
        <is>
          <t>not_invited</t>
        </is>
      </c>
    </row>
    <row r="1149">
      <c r="A1149" t="inlineStr">
        <is>
          <t>CL001148</t>
        </is>
      </c>
      <c r="B1149" t="inlineStr">
        <is>
          <t>not_invited</t>
        </is>
      </c>
    </row>
    <row r="1150">
      <c r="A1150" t="inlineStr">
        <is>
          <t>CL001149</t>
        </is>
      </c>
      <c r="B1150" t="inlineStr">
        <is>
          <t>not_invited</t>
        </is>
      </c>
    </row>
    <row r="1151">
      <c r="A1151" t="inlineStr">
        <is>
          <t>CL001150</t>
        </is>
      </c>
      <c r="B1151" t="inlineStr">
        <is>
          <t>not_invited</t>
        </is>
      </c>
    </row>
    <row r="1152">
      <c r="A1152" t="inlineStr">
        <is>
          <t>CL001151</t>
        </is>
      </c>
      <c r="B1152" t="inlineStr">
        <is>
          <t>not_invited</t>
        </is>
      </c>
    </row>
    <row r="1153">
      <c r="A1153" t="inlineStr">
        <is>
          <t>CL001152</t>
        </is>
      </c>
      <c r="B1153" t="inlineStr">
        <is>
          <t>not_invited</t>
        </is>
      </c>
    </row>
    <row r="1154">
      <c r="A1154" t="inlineStr">
        <is>
          <t>CL001153</t>
        </is>
      </c>
      <c r="B1154" t="inlineStr">
        <is>
          <t>responded</t>
        </is>
      </c>
      <c r="C1154" t="n">
        <v>0</v>
      </c>
      <c r="D1154" t="n">
        <v>0</v>
      </c>
      <c r="E1154" t="n">
        <v>35.29038396266813</v>
      </c>
    </row>
    <row r="1155">
      <c r="A1155" t="inlineStr">
        <is>
          <t>CL001154</t>
        </is>
      </c>
      <c r="B1155" t="inlineStr">
        <is>
          <t>not_invited</t>
        </is>
      </c>
    </row>
    <row r="1156">
      <c r="A1156" t="inlineStr">
        <is>
          <t>CL001155</t>
        </is>
      </c>
      <c r="B1156" t="inlineStr">
        <is>
          <t>not_invited</t>
        </is>
      </c>
    </row>
    <row r="1157">
      <c r="A1157" t="inlineStr">
        <is>
          <t>CL001156</t>
        </is>
      </c>
      <c r="B1157" t="inlineStr">
        <is>
          <t>not_invited</t>
        </is>
      </c>
    </row>
    <row r="1158">
      <c r="A1158" t="inlineStr">
        <is>
          <t>CL001157</t>
        </is>
      </c>
      <c r="B1158" t="inlineStr">
        <is>
          <t>not_invited</t>
        </is>
      </c>
    </row>
    <row r="1159">
      <c r="A1159" t="inlineStr">
        <is>
          <t>CL001158</t>
        </is>
      </c>
      <c r="B1159" t="inlineStr">
        <is>
          <t>not_invited</t>
        </is>
      </c>
    </row>
    <row r="1160">
      <c r="A1160" t="inlineStr">
        <is>
          <t>CL001159</t>
        </is>
      </c>
      <c r="B1160" t="inlineStr">
        <is>
          <t>not_invited</t>
        </is>
      </c>
    </row>
    <row r="1161">
      <c r="A1161" t="inlineStr">
        <is>
          <t>CL001160</t>
        </is>
      </c>
      <c r="B1161" t="inlineStr">
        <is>
          <t>not_invited</t>
        </is>
      </c>
    </row>
    <row r="1162">
      <c r="A1162" t="inlineStr">
        <is>
          <t>CL001161</t>
        </is>
      </c>
      <c r="B1162" t="inlineStr">
        <is>
          <t>not_invited</t>
        </is>
      </c>
    </row>
    <row r="1163">
      <c r="A1163" t="inlineStr">
        <is>
          <t>CL001162</t>
        </is>
      </c>
      <c r="B1163" t="inlineStr">
        <is>
          <t>not_invited</t>
        </is>
      </c>
    </row>
    <row r="1164">
      <c r="A1164" t="inlineStr">
        <is>
          <t>CL001163</t>
        </is>
      </c>
      <c r="B1164" t="inlineStr">
        <is>
          <t>not_invited</t>
        </is>
      </c>
    </row>
    <row r="1165">
      <c r="A1165" t="inlineStr">
        <is>
          <t>CL001164</t>
        </is>
      </c>
      <c r="B1165" t="inlineStr">
        <is>
          <t>not_invited</t>
        </is>
      </c>
    </row>
    <row r="1166">
      <c r="A1166" t="inlineStr">
        <is>
          <t>CL001165</t>
        </is>
      </c>
      <c r="B1166" t="inlineStr">
        <is>
          <t>not_invited</t>
        </is>
      </c>
    </row>
    <row r="1167">
      <c r="A1167" t="inlineStr">
        <is>
          <t>CL001166</t>
        </is>
      </c>
      <c r="B1167" t="inlineStr">
        <is>
          <t>not_invited</t>
        </is>
      </c>
    </row>
    <row r="1168">
      <c r="A1168" t="inlineStr">
        <is>
          <t>CL001167</t>
        </is>
      </c>
      <c r="B1168" t="inlineStr">
        <is>
          <t>not_invited</t>
        </is>
      </c>
    </row>
    <row r="1169">
      <c r="A1169" t="inlineStr">
        <is>
          <t>CL001168</t>
        </is>
      </c>
      <c r="B1169" t="inlineStr">
        <is>
          <t>not_invited</t>
        </is>
      </c>
    </row>
    <row r="1170">
      <c r="A1170" t="inlineStr">
        <is>
          <t>CL001169</t>
        </is>
      </c>
      <c r="B1170" t="inlineStr">
        <is>
          <t>not_invited</t>
        </is>
      </c>
    </row>
    <row r="1171">
      <c r="A1171" t="inlineStr">
        <is>
          <t>CL001170</t>
        </is>
      </c>
      <c r="B1171" t="inlineStr">
        <is>
          <t>not_invited</t>
        </is>
      </c>
    </row>
    <row r="1172">
      <c r="A1172" t="inlineStr">
        <is>
          <t>CL001171</t>
        </is>
      </c>
      <c r="B1172" t="inlineStr">
        <is>
          <t>not_invited</t>
        </is>
      </c>
    </row>
    <row r="1173">
      <c r="A1173" t="inlineStr">
        <is>
          <t>CL001172</t>
        </is>
      </c>
      <c r="B1173" t="inlineStr">
        <is>
          <t>not_invited</t>
        </is>
      </c>
    </row>
    <row r="1174">
      <c r="A1174" t="inlineStr">
        <is>
          <t>CL001173</t>
        </is>
      </c>
      <c r="B1174" t="inlineStr">
        <is>
          <t>not_invited</t>
        </is>
      </c>
    </row>
    <row r="1175">
      <c r="A1175" t="inlineStr">
        <is>
          <t>CL001174</t>
        </is>
      </c>
      <c r="B1175" t="inlineStr">
        <is>
          <t>not_invited</t>
        </is>
      </c>
    </row>
    <row r="1176">
      <c r="A1176" t="inlineStr">
        <is>
          <t>CL001175</t>
        </is>
      </c>
      <c r="B1176" t="inlineStr">
        <is>
          <t>not_invited</t>
        </is>
      </c>
    </row>
    <row r="1177">
      <c r="A1177" t="inlineStr">
        <is>
          <t>CL001176</t>
        </is>
      </c>
      <c r="B1177" t="inlineStr">
        <is>
          <t>not_invited</t>
        </is>
      </c>
    </row>
    <row r="1178">
      <c r="A1178" t="inlineStr">
        <is>
          <t>CL001177</t>
        </is>
      </c>
      <c r="B1178" t="inlineStr">
        <is>
          <t>not_invited</t>
        </is>
      </c>
    </row>
    <row r="1179">
      <c r="A1179" t="inlineStr">
        <is>
          <t>CL001178</t>
        </is>
      </c>
      <c r="B1179" t="inlineStr">
        <is>
          <t>not_invited</t>
        </is>
      </c>
    </row>
    <row r="1180">
      <c r="A1180" t="inlineStr">
        <is>
          <t>CL001179</t>
        </is>
      </c>
      <c r="B1180" t="inlineStr">
        <is>
          <t>not_invited</t>
        </is>
      </c>
    </row>
    <row r="1181">
      <c r="A1181" t="inlineStr">
        <is>
          <t>CL001180</t>
        </is>
      </c>
      <c r="B1181" t="inlineStr">
        <is>
          <t>not_invited</t>
        </is>
      </c>
    </row>
    <row r="1182">
      <c r="A1182" t="inlineStr">
        <is>
          <t>CL001181</t>
        </is>
      </c>
      <c r="B1182" t="inlineStr">
        <is>
          <t>not_invited</t>
        </is>
      </c>
    </row>
    <row r="1183">
      <c r="A1183" t="inlineStr">
        <is>
          <t>CL001182</t>
        </is>
      </c>
      <c r="B1183" t="inlineStr">
        <is>
          <t>not_invited</t>
        </is>
      </c>
    </row>
    <row r="1184">
      <c r="A1184" t="inlineStr">
        <is>
          <t>CL001183</t>
        </is>
      </c>
      <c r="B1184" t="inlineStr">
        <is>
          <t>not_invited</t>
        </is>
      </c>
    </row>
    <row r="1185">
      <c r="A1185" t="inlineStr">
        <is>
          <t>CL001184</t>
        </is>
      </c>
      <c r="B1185" t="inlineStr">
        <is>
          <t>not_invited</t>
        </is>
      </c>
    </row>
    <row r="1186">
      <c r="A1186" t="inlineStr">
        <is>
          <t>CL001185</t>
        </is>
      </c>
      <c r="B1186" t="inlineStr">
        <is>
          <t>not_invited</t>
        </is>
      </c>
    </row>
    <row r="1187">
      <c r="A1187" t="inlineStr">
        <is>
          <t>CL001186</t>
        </is>
      </c>
      <c r="B1187" t="inlineStr">
        <is>
          <t>not_invited</t>
        </is>
      </c>
    </row>
    <row r="1188">
      <c r="A1188" t="inlineStr">
        <is>
          <t>CL001187</t>
        </is>
      </c>
      <c r="B1188" t="inlineStr">
        <is>
          <t>not_invited</t>
        </is>
      </c>
    </row>
    <row r="1189">
      <c r="A1189" t="inlineStr">
        <is>
          <t>CL001188</t>
        </is>
      </c>
      <c r="B1189" t="inlineStr">
        <is>
          <t>not_invited</t>
        </is>
      </c>
    </row>
    <row r="1190">
      <c r="A1190" t="inlineStr">
        <is>
          <t>CL001189</t>
        </is>
      </c>
      <c r="B1190" t="inlineStr">
        <is>
          <t>not_invited</t>
        </is>
      </c>
    </row>
    <row r="1191">
      <c r="A1191" t="inlineStr">
        <is>
          <t>CL001190</t>
        </is>
      </c>
      <c r="B1191" t="inlineStr">
        <is>
          <t>not_invited</t>
        </is>
      </c>
    </row>
    <row r="1192">
      <c r="A1192" t="inlineStr">
        <is>
          <t>CL001191</t>
        </is>
      </c>
      <c r="B1192" t="inlineStr">
        <is>
          <t>not_invited</t>
        </is>
      </c>
    </row>
    <row r="1193">
      <c r="A1193" t="inlineStr">
        <is>
          <t>CL001192</t>
        </is>
      </c>
      <c r="B1193" t="inlineStr">
        <is>
          <t>not_invited</t>
        </is>
      </c>
    </row>
    <row r="1194">
      <c r="A1194" t="inlineStr">
        <is>
          <t>CL001193</t>
        </is>
      </c>
      <c r="B1194" t="inlineStr">
        <is>
          <t>not_invited</t>
        </is>
      </c>
    </row>
    <row r="1195">
      <c r="A1195" t="inlineStr">
        <is>
          <t>CL001194</t>
        </is>
      </c>
      <c r="B1195" t="inlineStr">
        <is>
          <t>nonresponse</t>
        </is>
      </c>
    </row>
    <row r="1196">
      <c r="A1196" t="inlineStr">
        <is>
          <t>CL001195</t>
        </is>
      </c>
      <c r="B1196" t="inlineStr">
        <is>
          <t>not_invited</t>
        </is>
      </c>
    </row>
    <row r="1197">
      <c r="A1197" t="inlineStr">
        <is>
          <t>CL001196</t>
        </is>
      </c>
      <c r="B1197" t="inlineStr">
        <is>
          <t>not_invited</t>
        </is>
      </c>
    </row>
    <row r="1198">
      <c r="A1198" t="inlineStr">
        <is>
          <t>CL001197</t>
        </is>
      </c>
      <c r="B1198" t="inlineStr">
        <is>
          <t>not_invited</t>
        </is>
      </c>
    </row>
    <row r="1199">
      <c r="A1199" t="inlineStr">
        <is>
          <t>CL001198</t>
        </is>
      </c>
      <c r="B1199" t="inlineStr">
        <is>
          <t>not_invited</t>
        </is>
      </c>
    </row>
    <row r="1200">
      <c r="A1200" t="inlineStr">
        <is>
          <t>CL001199</t>
        </is>
      </c>
      <c r="B1200" t="inlineStr">
        <is>
          <t>not_invited</t>
        </is>
      </c>
    </row>
    <row r="1201">
      <c r="A1201" t="inlineStr">
        <is>
          <t>CL001200</t>
        </is>
      </c>
      <c r="B1201" t="inlineStr">
        <is>
          <t>not_invited</t>
        </is>
      </c>
    </row>
    <row r="1202">
      <c r="A1202" t="inlineStr">
        <is>
          <t>CL001201</t>
        </is>
      </c>
      <c r="B1202" t="inlineStr">
        <is>
          <t>not_invited</t>
        </is>
      </c>
    </row>
    <row r="1203">
      <c r="A1203" t="inlineStr">
        <is>
          <t>CL001202</t>
        </is>
      </c>
      <c r="B1203" t="inlineStr">
        <is>
          <t>not_invited</t>
        </is>
      </c>
    </row>
    <row r="1204">
      <c r="A1204" t="inlineStr">
        <is>
          <t>CL001203</t>
        </is>
      </c>
      <c r="B1204" t="inlineStr">
        <is>
          <t>not_invited</t>
        </is>
      </c>
    </row>
    <row r="1205">
      <c r="A1205" t="inlineStr">
        <is>
          <t>CL001204</t>
        </is>
      </c>
      <c r="B1205" t="inlineStr">
        <is>
          <t>not_invited</t>
        </is>
      </c>
    </row>
    <row r="1206">
      <c r="A1206" t="inlineStr">
        <is>
          <t>CL001205</t>
        </is>
      </c>
      <c r="B1206" t="inlineStr">
        <is>
          <t>not_invited</t>
        </is>
      </c>
    </row>
    <row r="1207">
      <c r="A1207" t="inlineStr">
        <is>
          <t>CL001206</t>
        </is>
      </c>
      <c r="B1207" t="inlineStr">
        <is>
          <t>not_invited</t>
        </is>
      </c>
    </row>
    <row r="1208">
      <c r="A1208" t="inlineStr">
        <is>
          <t>CL001207</t>
        </is>
      </c>
      <c r="B1208" t="inlineStr">
        <is>
          <t>not_invited</t>
        </is>
      </c>
    </row>
    <row r="1209">
      <c r="A1209" t="inlineStr">
        <is>
          <t>CL001208</t>
        </is>
      </c>
      <c r="B1209" t="inlineStr">
        <is>
          <t>not_invited</t>
        </is>
      </c>
    </row>
    <row r="1210">
      <c r="A1210" t="inlineStr">
        <is>
          <t>CL001209</t>
        </is>
      </c>
      <c r="B1210" t="inlineStr">
        <is>
          <t>not_invited</t>
        </is>
      </c>
    </row>
    <row r="1211">
      <c r="A1211" t="inlineStr">
        <is>
          <t>CL001210</t>
        </is>
      </c>
      <c r="B1211" t="inlineStr">
        <is>
          <t>not_invited</t>
        </is>
      </c>
    </row>
    <row r="1212">
      <c r="A1212" t="inlineStr">
        <is>
          <t>CL001211</t>
        </is>
      </c>
      <c r="B1212" t="inlineStr">
        <is>
          <t>not_invited</t>
        </is>
      </c>
    </row>
    <row r="1213">
      <c r="A1213" t="inlineStr">
        <is>
          <t>CL001212</t>
        </is>
      </c>
      <c r="B1213" t="inlineStr">
        <is>
          <t>not_invited</t>
        </is>
      </c>
    </row>
    <row r="1214">
      <c r="A1214" t="inlineStr">
        <is>
          <t>CL001213</t>
        </is>
      </c>
      <c r="B1214" t="inlineStr">
        <is>
          <t>not_invited</t>
        </is>
      </c>
    </row>
    <row r="1215">
      <c r="A1215" t="inlineStr">
        <is>
          <t>CL001214</t>
        </is>
      </c>
      <c r="B1215" t="inlineStr">
        <is>
          <t>not_invited</t>
        </is>
      </c>
    </row>
    <row r="1216">
      <c r="A1216" t="inlineStr">
        <is>
          <t>CL001215</t>
        </is>
      </c>
      <c r="B1216" t="inlineStr">
        <is>
          <t>not_invited</t>
        </is>
      </c>
    </row>
    <row r="1217">
      <c r="A1217" t="inlineStr">
        <is>
          <t>CL001216</t>
        </is>
      </c>
      <c r="B1217" t="inlineStr">
        <is>
          <t>not_invited</t>
        </is>
      </c>
    </row>
    <row r="1218">
      <c r="A1218" t="inlineStr">
        <is>
          <t>CL001217</t>
        </is>
      </c>
      <c r="B1218" t="inlineStr">
        <is>
          <t>not_invited</t>
        </is>
      </c>
    </row>
    <row r="1219">
      <c r="A1219" t="inlineStr">
        <is>
          <t>CL001218</t>
        </is>
      </c>
      <c r="B1219" t="inlineStr">
        <is>
          <t>not_invited</t>
        </is>
      </c>
    </row>
    <row r="1220">
      <c r="A1220" t="inlineStr">
        <is>
          <t>CL001219</t>
        </is>
      </c>
      <c r="B1220" t="inlineStr">
        <is>
          <t>not_invited</t>
        </is>
      </c>
    </row>
    <row r="1221">
      <c r="A1221" t="inlineStr">
        <is>
          <t>CL001220</t>
        </is>
      </c>
      <c r="B1221" t="inlineStr">
        <is>
          <t>not_invited</t>
        </is>
      </c>
    </row>
    <row r="1222">
      <c r="A1222" t="inlineStr">
        <is>
          <t>CL001221</t>
        </is>
      </c>
      <c r="B1222" t="inlineStr">
        <is>
          <t>not_invited</t>
        </is>
      </c>
    </row>
    <row r="1223">
      <c r="A1223" t="inlineStr">
        <is>
          <t>CL001222</t>
        </is>
      </c>
      <c r="B1223" t="inlineStr">
        <is>
          <t>not_invited</t>
        </is>
      </c>
    </row>
    <row r="1224">
      <c r="A1224" t="inlineStr">
        <is>
          <t>CL001223</t>
        </is>
      </c>
      <c r="B1224" t="inlineStr">
        <is>
          <t>not_invited</t>
        </is>
      </c>
    </row>
    <row r="1225">
      <c r="A1225" t="inlineStr">
        <is>
          <t>CL001224</t>
        </is>
      </c>
      <c r="B1225" t="inlineStr">
        <is>
          <t>not_invited</t>
        </is>
      </c>
    </row>
    <row r="1226">
      <c r="A1226" t="inlineStr">
        <is>
          <t>CL001225</t>
        </is>
      </c>
      <c r="B1226" t="inlineStr">
        <is>
          <t>not_invited</t>
        </is>
      </c>
    </row>
    <row r="1227">
      <c r="A1227" t="inlineStr">
        <is>
          <t>CL001226</t>
        </is>
      </c>
      <c r="B1227" t="inlineStr">
        <is>
          <t>not_invited</t>
        </is>
      </c>
    </row>
    <row r="1228">
      <c r="A1228" t="inlineStr">
        <is>
          <t>CL001227</t>
        </is>
      </c>
      <c r="B1228" t="inlineStr">
        <is>
          <t>not_invited</t>
        </is>
      </c>
    </row>
    <row r="1229">
      <c r="A1229" t="inlineStr">
        <is>
          <t>CL001228</t>
        </is>
      </c>
      <c r="B1229" t="inlineStr">
        <is>
          <t>not_invited</t>
        </is>
      </c>
    </row>
    <row r="1230">
      <c r="A1230" t="inlineStr">
        <is>
          <t>CL001229</t>
        </is>
      </c>
      <c r="B1230" t="inlineStr">
        <is>
          <t>not_invited</t>
        </is>
      </c>
    </row>
    <row r="1231">
      <c r="A1231" t="inlineStr">
        <is>
          <t>CL001230</t>
        </is>
      </c>
      <c r="B1231" t="inlineStr">
        <is>
          <t>not_invited</t>
        </is>
      </c>
    </row>
    <row r="1232">
      <c r="A1232" t="inlineStr">
        <is>
          <t>CL001231</t>
        </is>
      </c>
      <c r="B1232" t="inlineStr">
        <is>
          <t>not_invited</t>
        </is>
      </c>
    </row>
    <row r="1233">
      <c r="A1233" t="inlineStr">
        <is>
          <t>CL001232</t>
        </is>
      </c>
      <c r="B1233" t="inlineStr">
        <is>
          <t>not_invited</t>
        </is>
      </c>
    </row>
    <row r="1234">
      <c r="A1234" t="inlineStr">
        <is>
          <t>CL001233</t>
        </is>
      </c>
      <c r="B1234" t="inlineStr">
        <is>
          <t>responded</t>
        </is>
      </c>
      <c r="C1234" t="n">
        <v>0</v>
      </c>
      <c r="D1234" t="n">
        <v>0</v>
      </c>
      <c r="E1234" t="n">
        <v>35.29038396266813</v>
      </c>
    </row>
    <row r="1235">
      <c r="A1235" t="inlineStr">
        <is>
          <t>CL001234</t>
        </is>
      </c>
      <c r="B1235" t="inlineStr">
        <is>
          <t>not_invited</t>
        </is>
      </c>
    </row>
    <row r="1236">
      <c r="A1236" t="inlineStr">
        <is>
          <t>CL001235</t>
        </is>
      </c>
      <c r="B1236" t="inlineStr">
        <is>
          <t>not_invited</t>
        </is>
      </c>
    </row>
    <row r="1237">
      <c r="A1237" t="inlineStr">
        <is>
          <t>CL001236</t>
        </is>
      </c>
      <c r="B1237" t="inlineStr">
        <is>
          <t>not_invited</t>
        </is>
      </c>
    </row>
    <row r="1238">
      <c r="A1238" t="inlineStr">
        <is>
          <t>CL001237</t>
        </is>
      </c>
      <c r="B1238" t="inlineStr">
        <is>
          <t>not_invited</t>
        </is>
      </c>
    </row>
    <row r="1239">
      <c r="A1239" t="inlineStr">
        <is>
          <t>CL001238</t>
        </is>
      </c>
      <c r="B1239" t="inlineStr">
        <is>
          <t>not_invited</t>
        </is>
      </c>
    </row>
    <row r="1240">
      <c r="A1240" t="inlineStr">
        <is>
          <t>CL001239</t>
        </is>
      </c>
      <c r="B1240" t="inlineStr">
        <is>
          <t>not_invited</t>
        </is>
      </c>
    </row>
    <row r="1241">
      <c r="A1241" t="inlineStr">
        <is>
          <t>CL001240</t>
        </is>
      </c>
      <c r="B1241" t="inlineStr">
        <is>
          <t>not_invited</t>
        </is>
      </c>
    </row>
    <row r="1242">
      <c r="A1242" t="inlineStr">
        <is>
          <t>CL001241</t>
        </is>
      </c>
      <c r="B1242" t="inlineStr">
        <is>
          <t>not_invited</t>
        </is>
      </c>
    </row>
    <row r="1243">
      <c r="A1243" t="inlineStr">
        <is>
          <t>CL001242</t>
        </is>
      </c>
      <c r="B1243" t="inlineStr">
        <is>
          <t>nonresponse</t>
        </is>
      </c>
    </row>
    <row r="1244">
      <c r="A1244" t="inlineStr">
        <is>
          <t>CL001243</t>
        </is>
      </c>
      <c r="B1244" t="inlineStr">
        <is>
          <t>not_invited</t>
        </is>
      </c>
    </row>
    <row r="1245">
      <c r="A1245" t="inlineStr">
        <is>
          <t>CL001244</t>
        </is>
      </c>
      <c r="B1245" t="inlineStr">
        <is>
          <t>not_invited</t>
        </is>
      </c>
    </row>
    <row r="1246">
      <c r="A1246" t="inlineStr">
        <is>
          <t>CL001245</t>
        </is>
      </c>
      <c r="B1246" t="inlineStr">
        <is>
          <t>not_invited</t>
        </is>
      </c>
    </row>
    <row r="1247">
      <c r="A1247" t="inlineStr">
        <is>
          <t>CL001246</t>
        </is>
      </c>
      <c r="B1247" t="inlineStr">
        <is>
          <t>not_invited</t>
        </is>
      </c>
    </row>
    <row r="1248">
      <c r="A1248" t="inlineStr">
        <is>
          <t>CL001247</t>
        </is>
      </c>
      <c r="B1248" t="inlineStr">
        <is>
          <t>not_invited</t>
        </is>
      </c>
    </row>
    <row r="1249">
      <c r="A1249" t="inlineStr">
        <is>
          <t>CL001248</t>
        </is>
      </c>
      <c r="B1249" t="inlineStr">
        <is>
          <t>not_invited</t>
        </is>
      </c>
    </row>
    <row r="1250">
      <c r="A1250" t="inlineStr">
        <is>
          <t>CL001249</t>
        </is>
      </c>
      <c r="B1250" t="inlineStr">
        <is>
          <t>not_invited</t>
        </is>
      </c>
    </row>
    <row r="1251">
      <c r="A1251" t="inlineStr">
        <is>
          <t>CL001250</t>
        </is>
      </c>
      <c r="B1251" t="inlineStr">
        <is>
          <t>not_invited</t>
        </is>
      </c>
    </row>
    <row r="1252">
      <c r="A1252" t="inlineStr">
        <is>
          <t>CL001251</t>
        </is>
      </c>
      <c r="B1252" t="inlineStr">
        <is>
          <t>not_invited</t>
        </is>
      </c>
    </row>
    <row r="1253">
      <c r="A1253" t="inlineStr">
        <is>
          <t>CL001252</t>
        </is>
      </c>
      <c r="B1253" t="inlineStr">
        <is>
          <t>not_invited</t>
        </is>
      </c>
    </row>
    <row r="1254">
      <c r="A1254" t="inlineStr">
        <is>
          <t>CL001253</t>
        </is>
      </c>
      <c r="B1254" t="inlineStr">
        <is>
          <t>not_invited</t>
        </is>
      </c>
    </row>
    <row r="1255">
      <c r="A1255" t="inlineStr">
        <is>
          <t>CL001254</t>
        </is>
      </c>
      <c r="B1255" t="inlineStr">
        <is>
          <t>not_invited</t>
        </is>
      </c>
    </row>
    <row r="1256">
      <c r="A1256" t="inlineStr">
        <is>
          <t>CL001255</t>
        </is>
      </c>
      <c r="B1256" t="inlineStr">
        <is>
          <t>not_invited</t>
        </is>
      </c>
    </row>
    <row r="1257">
      <c r="A1257" t="inlineStr">
        <is>
          <t>CL001256</t>
        </is>
      </c>
      <c r="B1257" t="inlineStr">
        <is>
          <t>responded</t>
        </is>
      </c>
      <c r="C1257" t="n">
        <v>0</v>
      </c>
      <c r="D1257" t="n">
        <v>0</v>
      </c>
      <c r="E1257" t="n">
        <v>35.29038396266813</v>
      </c>
    </row>
    <row r="1258">
      <c r="A1258" t="inlineStr">
        <is>
          <t>CL001257</t>
        </is>
      </c>
      <c r="B1258" t="inlineStr">
        <is>
          <t>not_invited</t>
        </is>
      </c>
    </row>
    <row r="1259">
      <c r="A1259" t="inlineStr">
        <is>
          <t>CL001258</t>
        </is>
      </c>
      <c r="B1259" t="inlineStr">
        <is>
          <t>not_invited</t>
        </is>
      </c>
    </row>
    <row r="1260">
      <c r="A1260" t="inlineStr">
        <is>
          <t>CL001259</t>
        </is>
      </c>
      <c r="B1260" t="inlineStr">
        <is>
          <t>not_invited</t>
        </is>
      </c>
    </row>
    <row r="1261">
      <c r="A1261" t="inlineStr">
        <is>
          <t>CL001260</t>
        </is>
      </c>
      <c r="B1261" t="inlineStr">
        <is>
          <t>not_invited</t>
        </is>
      </c>
    </row>
    <row r="1262">
      <c r="A1262" t="inlineStr">
        <is>
          <t>CL001261</t>
        </is>
      </c>
      <c r="B1262" t="inlineStr">
        <is>
          <t>not_invited</t>
        </is>
      </c>
    </row>
    <row r="1263">
      <c r="A1263" t="inlineStr">
        <is>
          <t>CL001262</t>
        </is>
      </c>
      <c r="B1263" t="inlineStr">
        <is>
          <t>not_invited</t>
        </is>
      </c>
    </row>
    <row r="1264">
      <c r="A1264" t="inlineStr">
        <is>
          <t>CL001263</t>
        </is>
      </c>
      <c r="B1264" t="inlineStr">
        <is>
          <t>not_invited</t>
        </is>
      </c>
    </row>
    <row r="1265">
      <c r="A1265" t="inlineStr">
        <is>
          <t>CL001264</t>
        </is>
      </c>
      <c r="B1265" t="inlineStr">
        <is>
          <t>not_invited</t>
        </is>
      </c>
    </row>
    <row r="1266">
      <c r="A1266" t="inlineStr">
        <is>
          <t>CL001265</t>
        </is>
      </c>
      <c r="B1266" t="inlineStr">
        <is>
          <t>not_invited</t>
        </is>
      </c>
    </row>
    <row r="1267">
      <c r="A1267" t="inlineStr">
        <is>
          <t>CL001266</t>
        </is>
      </c>
      <c r="B1267" t="inlineStr">
        <is>
          <t>not_invited</t>
        </is>
      </c>
    </row>
    <row r="1268">
      <c r="A1268" t="inlineStr">
        <is>
          <t>CL001267</t>
        </is>
      </c>
      <c r="B1268" t="inlineStr">
        <is>
          <t>not_invited</t>
        </is>
      </c>
    </row>
    <row r="1269">
      <c r="A1269" t="inlineStr">
        <is>
          <t>CL001268</t>
        </is>
      </c>
      <c r="B1269" t="inlineStr">
        <is>
          <t>not_invited</t>
        </is>
      </c>
    </row>
    <row r="1270">
      <c r="A1270" t="inlineStr">
        <is>
          <t>CL001269</t>
        </is>
      </c>
      <c r="B1270" t="inlineStr">
        <is>
          <t>not_invited</t>
        </is>
      </c>
    </row>
    <row r="1271">
      <c r="A1271" t="inlineStr">
        <is>
          <t>CL001270</t>
        </is>
      </c>
      <c r="B1271" t="inlineStr">
        <is>
          <t>not_invited</t>
        </is>
      </c>
    </row>
    <row r="1272">
      <c r="A1272" t="inlineStr">
        <is>
          <t>CL001271</t>
        </is>
      </c>
      <c r="B1272" t="inlineStr">
        <is>
          <t>not_invited</t>
        </is>
      </c>
    </row>
    <row r="1273">
      <c r="A1273" t="inlineStr">
        <is>
          <t>CL001272</t>
        </is>
      </c>
      <c r="B1273" t="inlineStr">
        <is>
          <t>not_invited</t>
        </is>
      </c>
    </row>
    <row r="1274">
      <c r="A1274" t="inlineStr">
        <is>
          <t>CL001273</t>
        </is>
      </c>
      <c r="B1274" t="inlineStr">
        <is>
          <t>not_invited</t>
        </is>
      </c>
    </row>
    <row r="1275">
      <c r="A1275" t="inlineStr">
        <is>
          <t>CL001274</t>
        </is>
      </c>
      <c r="B1275" t="inlineStr">
        <is>
          <t>not_invited</t>
        </is>
      </c>
    </row>
    <row r="1276">
      <c r="A1276" t="inlineStr">
        <is>
          <t>CL001275</t>
        </is>
      </c>
      <c r="B1276" t="inlineStr">
        <is>
          <t>responded</t>
        </is>
      </c>
      <c r="C1276" t="n">
        <v>0</v>
      </c>
      <c r="D1276" t="n">
        <v>0</v>
      </c>
      <c r="E1276" t="n">
        <v>35.29038396266813</v>
      </c>
    </row>
    <row r="1277">
      <c r="A1277" t="inlineStr">
        <is>
          <t>CL001276</t>
        </is>
      </c>
      <c r="B1277" t="inlineStr">
        <is>
          <t>not_invited</t>
        </is>
      </c>
    </row>
    <row r="1278">
      <c r="A1278" t="inlineStr">
        <is>
          <t>CL001277</t>
        </is>
      </c>
      <c r="B1278" t="inlineStr">
        <is>
          <t>not_invited</t>
        </is>
      </c>
    </row>
    <row r="1279">
      <c r="A1279" t="inlineStr">
        <is>
          <t>CL001278</t>
        </is>
      </c>
      <c r="B1279" t="inlineStr">
        <is>
          <t>not_invited</t>
        </is>
      </c>
    </row>
    <row r="1280">
      <c r="A1280" t="inlineStr">
        <is>
          <t>CL001279</t>
        </is>
      </c>
      <c r="B1280" t="inlineStr">
        <is>
          <t>not_invited</t>
        </is>
      </c>
    </row>
    <row r="1281">
      <c r="A1281" t="inlineStr">
        <is>
          <t>CL001280</t>
        </is>
      </c>
      <c r="B1281" t="inlineStr">
        <is>
          <t>not_invited</t>
        </is>
      </c>
    </row>
    <row r="1282">
      <c r="A1282" t="inlineStr">
        <is>
          <t>CL001281</t>
        </is>
      </c>
      <c r="B1282" t="inlineStr">
        <is>
          <t>not_invited</t>
        </is>
      </c>
    </row>
    <row r="1283">
      <c r="A1283" t="inlineStr">
        <is>
          <t>CL001282</t>
        </is>
      </c>
      <c r="B1283" t="inlineStr">
        <is>
          <t>not_invited</t>
        </is>
      </c>
    </row>
    <row r="1284">
      <c r="A1284" t="inlineStr">
        <is>
          <t>CL001283</t>
        </is>
      </c>
      <c r="B1284" t="inlineStr">
        <is>
          <t>not_invited</t>
        </is>
      </c>
    </row>
    <row r="1285">
      <c r="A1285" t="inlineStr">
        <is>
          <t>CL001284</t>
        </is>
      </c>
      <c r="B1285" t="inlineStr">
        <is>
          <t>not_invited</t>
        </is>
      </c>
    </row>
    <row r="1286">
      <c r="A1286" t="inlineStr">
        <is>
          <t>CL001285</t>
        </is>
      </c>
      <c r="B1286" t="inlineStr">
        <is>
          <t>not_invited</t>
        </is>
      </c>
    </row>
    <row r="1287">
      <c r="A1287" t="inlineStr">
        <is>
          <t>CL001286</t>
        </is>
      </c>
      <c r="B1287" t="inlineStr">
        <is>
          <t>not_invited</t>
        </is>
      </c>
    </row>
    <row r="1288">
      <c r="A1288" t="inlineStr">
        <is>
          <t>CL001287</t>
        </is>
      </c>
      <c r="B1288" t="inlineStr">
        <is>
          <t>not_invited</t>
        </is>
      </c>
    </row>
    <row r="1289">
      <c r="A1289" t="inlineStr">
        <is>
          <t>CL001288</t>
        </is>
      </c>
      <c r="B1289" t="inlineStr">
        <is>
          <t>not_invited</t>
        </is>
      </c>
    </row>
    <row r="1290">
      <c r="A1290" t="inlineStr">
        <is>
          <t>CL001289</t>
        </is>
      </c>
      <c r="B1290" t="inlineStr">
        <is>
          <t>not_invited</t>
        </is>
      </c>
    </row>
    <row r="1291">
      <c r="A1291" t="inlineStr">
        <is>
          <t>CL001290</t>
        </is>
      </c>
      <c r="B1291" t="inlineStr">
        <is>
          <t>not_invited</t>
        </is>
      </c>
    </row>
    <row r="1292">
      <c r="A1292" t="inlineStr">
        <is>
          <t>CL001291</t>
        </is>
      </c>
      <c r="B1292" t="inlineStr">
        <is>
          <t>not_invited</t>
        </is>
      </c>
    </row>
    <row r="1293">
      <c r="A1293" t="inlineStr">
        <is>
          <t>CL001292</t>
        </is>
      </c>
      <c r="B1293" t="inlineStr">
        <is>
          <t>not_invited</t>
        </is>
      </c>
    </row>
    <row r="1294">
      <c r="A1294" t="inlineStr">
        <is>
          <t>CL001293</t>
        </is>
      </c>
      <c r="B1294" t="inlineStr">
        <is>
          <t>not_invited</t>
        </is>
      </c>
    </row>
    <row r="1295">
      <c r="A1295" t="inlineStr">
        <is>
          <t>CL001294</t>
        </is>
      </c>
      <c r="B1295" t="inlineStr">
        <is>
          <t>not_invited</t>
        </is>
      </c>
    </row>
    <row r="1296">
      <c r="A1296" t="inlineStr">
        <is>
          <t>CL001295</t>
        </is>
      </c>
      <c r="B1296" t="inlineStr">
        <is>
          <t>not_invited</t>
        </is>
      </c>
    </row>
    <row r="1297">
      <c r="A1297" t="inlineStr">
        <is>
          <t>CL001296</t>
        </is>
      </c>
      <c r="B1297" t="inlineStr">
        <is>
          <t>not_invited</t>
        </is>
      </c>
    </row>
    <row r="1298">
      <c r="A1298" t="inlineStr">
        <is>
          <t>CL001297</t>
        </is>
      </c>
      <c r="B1298" t="inlineStr">
        <is>
          <t>not_invited</t>
        </is>
      </c>
    </row>
    <row r="1299">
      <c r="A1299" t="inlineStr">
        <is>
          <t>CL001298</t>
        </is>
      </c>
      <c r="B1299" t="inlineStr">
        <is>
          <t>not_invited</t>
        </is>
      </c>
    </row>
    <row r="1300">
      <c r="A1300" t="inlineStr">
        <is>
          <t>CL001299</t>
        </is>
      </c>
      <c r="B1300" t="inlineStr">
        <is>
          <t>not_invited</t>
        </is>
      </c>
    </row>
    <row r="1301">
      <c r="A1301" t="inlineStr">
        <is>
          <t>CL001300</t>
        </is>
      </c>
      <c r="B1301" t="inlineStr">
        <is>
          <t>not_invited</t>
        </is>
      </c>
    </row>
    <row r="1302">
      <c r="A1302" t="inlineStr">
        <is>
          <t>CL001301</t>
        </is>
      </c>
      <c r="B1302" t="inlineStr">
        <is>
          <t>not_invited</t>
        </is>
      </c>
    </row>
    <row r="1303">
      <c r="A1303" t="inlineStr">
        <is>
          <t>CL001302</t>
        </is>
      </c>
      <c r="B1303" t="inlineStr">
        <is>
          <t>not_invited</t>
        </is>
      </c>
    </row>
    <row r="1304">
      <c r="A1304" t="inlineStr">
        <is>
          <t>CL001303</t>
        </is>
      </c>
      <c r="B1304" t="inlineStr">
        <is>
          <t>not_invited</t>
        </is>
      </c>
    </row>
    <row r="1305">
      <c r="A1305" t="inlineStr">
        <is>
          <t>CL001304</t>
        </is>
      </c>
      <c r="B1305" t="inlineStr">
        <is>
          <t>not_invited</t>
        </is>
      </c>
    </row>
    <row r="1306">
      <c r="A1306" t="inlineStr">
        <is>
          <t>CL001305</t>
        </is>
      </c>
      <c r="B1306" t="inlineStr">
        <is>
          <t>not_invited</t>
        </is>
      </c>
    </row>
    <row r="1307">
      <c r="A1307" t="inlineStr">
        <is>
          <t>CL001306</t>
        </is>
      </c>
      <c r="B1307" t="inlineStr">
        <is>
          <t>not_invited</t>
        </is>
      </c>
    </row>
    <row r="1308">
      <c r="A1308" t="inlineStr">
        <is>
          <t>CL001307</t>
        </is>
      </c>
      <c r="B1308" t="inlineStr">
        <is>
          <t>not_invited</t>
        </is>
      </c>
    </row>
    <row r="1309">
      <c r="A1309" t="inlineStr">
        <is>
          <t>CL001308</t>
        </is>
      </c>
      <c r="B1309" t="inlineStr">
        <is>
          <t>not_invited</t>
        </is>
      </c>
    </row>
    <row r="1310">
      <c r="A1310" t="inlineStr">
        <is>
          <t>CL001309</t>
        </is>
      </c>
      <c r="B1310" t="inlineStr">
        <is>
          <t>not_invited</t>
        </is>
      </c>
    </row>
    <row r="1311">
      <c r="A1311" t="inlineStr">
        <is>
          <t>CL001310</t>
        </is>
      </c>
      <c r="B1311" t="inlineStr">
        <is>
          <t>not_invited</t>
        </is>
      </c>
    </row>
    <row r="1312">
      <c r="A1312" t="inlineStr">
        <is>
          <t>CL001311</t>
        </is>
      </c>
      <c r="B1312" t="inlineStr">
        <is>
          <t>not_invited</t>
        </is>
      </c>
    </row>
    <row r="1313">
      <c r="A1313" t="inlineStr">
        <is>
          <t>CL001312</t>
        </is>
      </c>
      <c r="B1313" t="inlineStr">
        <is>
          <t>not_invited</t>
        </is>
      </c>
    </row>
    <row r="1314">
      <c r="A1314" t="inlineStr">
        <is>
          <t>CL001313</t>
        </is>
      </c>
      <c r="B1314" t="inlineStr">
        <is>
          <t>not_invited</t>
        </is>
      </c>
    </row>
    <row r="1315">
      <c r="A1315" t="inlineStr">
        <is>
          <t>CL001314</t>
        </is>
      </c>
      <c r="B1315" t="inlineStr">
        <is>
          <t>not_invited</t>
        </is>
      </c>
    </row>
    <row r="1316">
      <c r="A1316" t="inlineStr">
        <is>
          <t>CL001315</t>
        </is>
      </c>
      <c r="B1316" t="inlineStr">
        <is>
          <t>not_invited</t>
        </is>
      </c>
    </row>
    <row r="1317">
      <c r="A1317" t="inlineStr">
        <is>
          <t>CL001316</t>
        </is>
      </c>
      <c r="B1317" t="inlineStr">
        <is>
          <t>not_invited</t>
        </is>
      </c>
    </row>
    <row r="1318">
      <c r="A1318" t="inlineStr">
        <is>
          <t>CL001317</t>
        </is>
      </c>
      <c r="B1318" t="inlineStr">
        <is>
          <t>not_invited</t>
        </is>
      </c>
    </row>
    <row r="1319">
      <c r="A1319" t="inlineStr">
        <is>
          <t>CL001318</t>
        </is>
      </c>
      <c r="B1319" t="inlineStr">
        <is>
          <t>not_invited</t>
        </is>
      </c>
    </row>
    <row r="1320">
      <c r="A1320" t="inlineStr">
        <is>
          <t>CL001319</t>
        </is>
      </c>
      <c r="B1320" t="inlineStr">
        <is>
          <t>not_invited</t>
        </is>
      </c>
    </row>
    <row r="1321">
      <c r="A1321" t="inlineStr">
        <is>
          <t>CL001320</t>
        </is>
      </c>
      <c r="B1321" t="inlineStr">
        <is>
          <t>not_invited</t>
        </is>
      </c>
    </row>
    <row r="1322">
      <c r="A1322" t="inlineStr">
        <is>
          <t>CL001321</t>
        </is>
      </c>
      <c r="B1322" t="inlineStr">
        <is>
          <t>not_invited</t>
        </is>
      </c>
    </row>
    <row r="1323">
      <c r="A1323" t="inlineStr">
        <is>
          <t>CL001322</t>
        </is>
      </c>
      <c r="B1323" t="inlineStr">
        <is>
          <t>not_invited</t>
        </is>
      </c>
    </row>
    <row r="1324">
      <c r="A1324" t="inlineStr">
        <is>
          <t>CL001323</t>
        </is>
      </c>
      <c r="B1324" t="inlineStr">
        <is>
          <t>not_invited</t>
        </is>
      </c>
    </row>
    <row r="1325">
      <c r="A1325" t="inlineStr">
        <is>
          <t>CL001324</t>
        </is>
      </c>
      <c r="B1325" t="inlineStr">
        <is>
          <t>not_invited</t>
        </is>
      </c>
    </row>
    <row r="1326">
      <c r="A1326" t="inlineStr">
        <is>
          <t>CL001325</t>
        </is>
      </c>
      <c r="B1326" t="inlineStr">
        <is>
          <t>not_invited</t>
        </is>
      </c>
    </row>
    <row r="1327">
      <c r="A1327" t="inlineStr">
        <is>
          <t>CL001326</t>
        </is>
      </c>
      <c r="B1327" t="inlineStr">
        <is>
          <t>not_invited</t>
        </is>
      </c>
    </row>
    <row r="1328">
      <c r="A1328" t="inlineStr">
        <is>
          <t>CL001327</t>
        </is>
      </c>
      <c r="B1328" t="inlineStr">
        <is>
          <t>not_invited</t>
        </is>
      </c>
    </row>
    <row r="1329">
      <c r="A1329" t="inlineStr">
        <is>
          <t>CL001328</t>
        </is>
      </c>
      <c r="B1329" t="inlineStr">
        <is>
          <t>not_invited</t>
        </is>
      </c>
    </row>
    <row r="1330">
      <c r="A1330" t="inlineStr">
        <is>
          <t>CL001329</t>
        </is>
      </c>
      <c r="B1330" t="inlineStr">
        <is>
          <t>not_invited</t>
        </is>
      </c>
    </row>
    <row r="1331">
      <c r="A1331" t="inlineStr">
        <is>
          <t>CL001330</t>
        </is>
      </c>
      <c r="B1331" t="inlineStr">
        <is>
          <t>not_invited</t>
        </is>
      </c>
    </row>
    <row r="1332">
      <c r="A1332" t="inlineStr">
        <is>
          <t>CL001331</t>
        </is>
      </c>
      <c r="B1332" t="inlineStr">
        <is>
          <t>not_invited</t>
        </is>
      </c>
    </row>
    <row r="1333">
      <c r="A1333" t="inlineStr">
        <is>
          <t>CL001332</t>
        </is>
      </c>
      <c r="B1333" t="inlineStr">
        <is>
          <t>not_invited</t>
        </is>
      </c>
    </row>
    <row r="1334">
      <c r="A1334" t="inlineStr">
        <is>
          <t>CL001333</t>
        </is>
      </c>
      <c r="B1334" t="inlineStr">
        <is>
          <t>not_invited</t>
        </is>
      </c>
    </row>
    <row r="1335">
      <c r="A1335" t="inlineStr">
        <is>
          <t>CL001334</t>
        </is>
      </c>
      <c r="B1335" t="inlineStr">
        <is>
          <t>not_invited</t>
        </is>
      </c>
    </row>
    <row r="1336">
      <c r="A1336" t="inlineStr">
        <is>
          <t>CL001335</t>
        </is>
      </c>
      <c r="B1336" t="inlineStr">
        <is>
          <t>not_invited</t>
        </is>
      </c>
    </row>
    <row r="1337">
      <c r="A1337" t="inlineStr">
        <is>
          <t>CL001336</t>
        </is>
      </c>
      <c r="B1337" t="inlineStr">
        <is>
          <t>not_invited</t>
        </is>
      </c>
    </row>
    <row r="1338">
      <c r="A1338" t="inlineStr">
        <is>
          <t>CL001337</t>
        </is>
      </c>
      <c r="B1338" t="inlineStr">
        <is>
          <t>not_invited</t>
        </is>
      </c>
    </row>
    <row r="1339">
      <c r="A1339" t="inlineStr">
        <is>
          <t>CL001338</t>
        </is>
      </c>
      <c r="B1339" t="inlineStr">
        <is>
          <t>not_invited</t>
        </is>
      </c>
    </row>
    <row r="1340">
      <c r="A1340" t="inlineStr">
        <is>
          <t>CL001339</t>
        </is>
      </c>
      <c r="B1340" t="inlineStr">
        <is>
          <t>responded</t>
        </is>
      </c>
      <c r="C1340" t="n">
        <v>1</v>
      </c>
      <c r="D1340" t="n">
        <v>1</v>
      </c>
      <c r="E1340" t="n">
        <v>63.24711745155093</v>
      </c>
    </row>
    <row r="1341">
      <c r="A1341" t="inlineStr">
        <is>
          <t>CL001340</t>
        </is>
      </c>
      <c r="B1341" t="inlineStr">
        <is>
          <t>not_invited</t>
        </is>
      </c>
    </row>
    <row r="1342">
      <c r="A1342" t="inlineStr">
        <is>
          <t>CL001341</t>
        </is>
      </c>
      <c r="B1342" t="inlineStr">
        <is>
          <t>not_invited</t>
        </is>
      </c>
    </row>
    <row r="1343">
      <c r="A1343" t="inlineStr">
        <is>
          <t>CL001342</t>
        </is>
      </c>
      <c r="B1343" t="inlineStr">
        <is>
          <t>not_invited</t>
        </is>
      </c>
    </row>
    <row r="1344">
      <c r="A1344" t="inlineStr">
        <is>
          <t>CL001343</t>
        </is>
      </c>
      <c r="B1344" t="inlineStr">
        <is>
          <t>not_invited</t>
        </is>
      </c>
    </row>
    <row r="1345">
      <c r="A1345" t="inlineStr">
        <is>
          <t>CL001344</t>
        </is>
      </c>
      <c r="B1345" t="inlineStr">
        <is>
          <t>responded</t>
        </is>
      </c>
      <c r="C1345" t="n">
        <v>0</v>
      </c>
      <c r="D1345" t="n">
        <v>0</v>
      </c>
      <c r="E1345" t="n">
        <v>35.29038396266813</v>
      </c>
    </row>
    <row r="1346">
      <c r="A1346" t="inlineStr">
        <is>
          <t>CL001345</t>
        </is>
      </c>
      <c r="B1346" t="inlineStr">
        <is>
          <t>not_invited</t>
        </is>
      </c>
    </row>
    <row r="1347">
      <c r="A1347" t="inlineStr">
        <is>
          <t>CL001346</t>
        </is>
      </c>
      <c r="B1347" t="inlineStr">
        <is>
          <t>not_invited</t>
        </is>
      </c>
    </row>
    <row r="1348">
      <c r="A1348" t="inlineStr">
        <is>
          <t>CL001347</t>
        </is>
      </c>
      <c r="B1348" t="inlineStr">
        <is>
          <t>not_invited</t>
        </is>
      </c>
    </row>
    <row r="1349">
      <c r="A1349" t="inlineStr">
        <is>
          <t>CL001348</t>
        </is>
      </c>
      <c r="B1349" t="inlineStr">
        <is>
          <t>not_invited</t>
        </is>
      </c>
    </row>
    <row r="1350">
      <c r="A1350" t="inlineStr">
        <is>
          <t>CL001349</t>
        </is>
      </c>
      <c r="B1350" t="inlineStr">
        <is>
          <t>not_invited</t>
        </is>
      </c>
    </row>
    <row r="1351">
      <c r="A1351" t="inlineStr">
        <is>
          <t>CL001350</t>
        </is>
      </c>
      <c r="B1351" t="inlineStr">
        <is>
          <t>not_invited</t>
        </is>
      </c>
    </row>
    <row r="1352">
      <c r="A1352" t="inlineStr">
        <is>
          <t>CL001351</t>
        </is>
      </c>
      <c r="B1352" t="inlineStr">
        <is>
          <t>not_invited</t>
        </is>
      </c>
    </row>
    <row r="1353">
      <c r="A1353" t="inlineStr">
        <is>
          <t>CL001352</t>
        </is>
      </c>
      <c r="B1353" t="inlineStr">
        <is>
          <t>nonresponse</t>
        </is>
      </c>
    </row>
    <row r="1354">
      <c r="A1354" t="inlineStr">
        <is>
          <t>CL001353</t>
        </is>
      </c>
      <c r="B1354" t="inlineStr">
        <is>
          <t>responded</t>
        </is>
      </c>
      <c r="C1354" t="n">
        <v>0</v>
      </c>
      <c r="D1354" t="n">
        <v>0</v>
      </c>
      <c r="E1354" t="n">
        <v>35.29038396266813</v>
      </c>
    </row>
    <row r="1355">
      <c r="A1355" t="inlineStr">
        <is>
          <t>CL001354</t>
        </is>
      </c>
      <c r="B1355" t="inlineStr">
        <is>
          <t>not_invited</t>
        </is>
      </c>
    </row>
    <row r="1356">
      <c r="A1356" t="inlineStr">
        <is>
          <t>CL001355</t>
        </is>
      </c>
      <c r="B1356" t="inlineStr">
        <is>
          <t>not_invited</t>
        </is>
      </c>
    </row>
    <row r="1357">
      <c r="A1357" t="inlineStr">
        <is>
          <t>CL001356</t>
        </is>
      </c>
      <c r="B1357" t="inlineStr">
        <is>
          <t>not_invited</t>
        </is>
      </c>
    </row>
    <row r="1358">
      <c r="A1358" t="inlineStr">
        <is>
          <t>CL001357</t>
        </is>
      </c>
      <c r="B1358" t="inlineStr">
        <is>
          <t>not_invited</t>
        </is>
      </c>
    </row>
    <row r="1359">
      <c r="A1359" t="inlineStr">
        <is>
          <t>CL001358</t>
        </is>
      </c>
      <c r="B1359" t="inlineStr">
        <is>
          <t>not_invited</t>
        </is>
      </c>
    </row>
    <row r="1360">
      <c r="A1360" t="inlineStr">
        <is>
          <t>CL001359</t>
        </is>
      </c>
      <c r="B1360" t="inlineStr">
        <is>
          <t>not_invited</t>
        </is>
      </c>
    </row>
    <row r="1361">
      <c r="A1361" t="inlineStr">
        <is>
          <t>CL001360</t>
        </is>
      </c>
      <c r="B1361" t="inlineStr">
        <is>
          <t>not_invited</t>
        </is>
      </c>
    </row>
    <row r="1362">
      <c r="A1362" t="inlineStr">
        <is>
          <t>CL001361</t>
        </is>
      </c>
      <c r="B1362" t="inlineStr">
        <is>
          <t>not_invited</t>
        </is>
      </c>
    </row>
    <row r="1363">
      <c r="A1363" t="inlineStr">
        <is>
          <t>CL001362</t>
        </is>
      </c>
      <c r="B1363" t="inlineStr">
        <is>
          <t>not_invited</t>
        </is>
      </c>
    </row>
    <row r="1364">
      <c r="A1364" t="inlineStr">
        <is>
          <t>CL001363</t>
        </is>
      </c>
      <c r="B1364" t="inlineStr">
        <is>
          <t>not_invited</t>
        </is>
      </c>
    </row>
    <row r="1365">
      <c r="A1365" t="inlineStr">
        <is>
          <t>CL001364</t>
        </is>
      </c>
      <c r="B1365" t="inlineStr">
        <is>
          <t>not_invited</t>
        </is>
      </c>
    </row>
    <row r="1366">
      <c r="A1366" t="inlineStr">
        <is>
          <t>CL001365</t>
        </is>
      </c>
      <c r="B1366" t="inlineStr">
        <is>
          <t>responded</t>
        </is>
      </c>
      <c r="C1366" t="n">
        <v>1</v>
      </c>
      <c r="D1366" t="n">
        <v>1</v>
      </c>
      <c r="E1366" t="n">
        <v>63.24711745155093</v>
      </c>
    </row>
    <row r="1367">
      <c r="A1367" t="inlineStr">
        <is>
          <t>CL001366</t>
        </is>
      </c>
      <c r="B1367" t="inlineStr">
        <is>
          <t>not_invited</t>
        </is>
      </c>
    </row>
    <row r="1368">
      <c r="A1368" t="inlineStr">
        <is>
          <t>CL001367</t>
        </is>
      </c>
      <c r="B1368" t="inlineStr">
        <is>
          <t>not_invited</t>
        </is>
      </c>
    </row>
    <row r="1369">
      <c r="A1369" t="inlineStr">
        <is>
          <t>CL001368</t>
        </is>
      </c>
      <c r="B1369" t="inlineStr">
        <is>
          <t>not_invited</t>
        </is>
      </c>
    </row>
    <row r="1370">
      <c r="A1370" t="inlineStr">
        <is>
          <t>CL001369</t>
        </is>
      </c>
      <c r="B1370" t="inlineStr">
        <is>
          <t>not_invited</t>
        </is>
      </c>
    </row>
    <row r="1371">
      <c r="A1371" t="inlineStr">
        <is>
          <t>CL001370</t>
        </is>
      </c>
      <c r="B1371" t="inlineStr">
        <is>
          <t>not_invited</t>
        </is>
      </c>
    </row>
    <row r="1372">
      <c r="A1372" t="inlineStr">
        <is>
          <t>CL001371</t>
        </is>
      </c>
      <c r="B1372" t="inlineStr">
        <is>
          <t>not_invited</t>
        </is>
      </c>
    </row>
    <row r="1373">
      <c r="A1373" t="inlineStr">
        <is>
          <t>CL001372</t>
        </is>
      </c>
      <c r="B1373" t="inlineStr">
        <is>
          <t>not_invited</t>
        </is>
      </c>
    </row>
    <row r="1374">
      <c r="A1374" t="inlineStr">
        <is>
          <t>CL001373</t>
        </is>
      </c>
      <c r="B1374" t="inlineStr">
        <is>
          <t>not_invited</t>
        </is>
      </c>
    </row>
    <row r="1375">
      <c r="A1375" t="inlineStr">
        <is>
          <t>CL001374</t>
        </is>
      </c>
      <c r="B1375" t="inlineStr">
        <is>
          <t>not_invited</t>
        </is>
      </c>
    </row>
    <row r="1376">
      <c r="A1376" t="inlineStr">
        <is>
          <t>CL001375</t>
        </is>
      </c>
      <c r="B1376" t="inlineStr">
        <is>
          <t>not_invited</t>
        </is>
      </c>
    </row>
    <row r="1377">
      <c r="A1377" t="inlineStr">
        <is>
          <t>CL001376</t>
        </is>
      </c>
      <c r="B1377" t="inlineStr">
        <is>
          <t>not_invited</t>
        </is>
      </c>
    </row>
    <row r="1378">
      <c r="A1378" t="inlineStr">
        <is>
          <t>CL001377</t>
        </is>
      </c>
      <c r="B1378" t="inlineStr">
        <is>
          <t>not_invited</t>
        </is>
      </c>
    </row>
    <row r="1379">
      <c r="A1379" t="inlineStr">
        <is>
          <t>CL001378</t>
        </is>
      </c>
      <c r="B1379" t="inlineStr">
        <is>
          <t>not_invited</t>
        </is>
      </c>
    </row>
    <row r="1380">
      <c r="A1380" t="inlineStr">
        <is>
          <t>CL001379</t>
        </is>
      </c>
      <c r="B1380" t="inlineStr">
        <is>
          <t>not_invited</t>
        </is>
      </c>
    </row>
    <row r="1381">
      <c r="A1381" t="inlineStr">
        <is>
          <t>CL001380</t>
        </is>
      </c>
      <c r="B1381" t="inlineStr">
        <is>
          <t>not_invited</t>
        </is>
      </c>
    </row>
    <row r="1382">
      <c r="A1382" t="inlineStr">
        <is>
          <t>CL001381</t>
        </is>
      </c>
      <c r="B1382" t="inlineStr">
        <is>
          <t>not_invited</t>
        </is>
      </c>
    </row>
    <row r="1383">
      <c r="A1383" t="inlineStr">
        <is>
          <t>CL001382</t>
        </is>
      </c>
      <c r="B1383" t="inlineStr">
        <is>
          <t>not_invited</t>
        </is>
      </c>
    </row>
    <row r="1384">
      <c r="A1384" t="inlineStr">
        <is>
          <t>CL001383</t>
        </is>
      </c>
      <c r="B1384" t="inlineStr">
        <is>
          <t>not_invited</t>
        </is>
      </c>
    </row>
    <row r="1385">
      <c r="A1385" t="inlineStr">
        <is>
          <t>CL001384</t>
        </is>
      </c>
      <c r="B1385" t="inlineStr">
        <is>
          <t>not_invited</t>
        </is>
      </c>
    </row>
    <row r="1386">
      <c r="A1386" t="inlineStr">
        <is>
          <t>CL001385</t>
        </is>
      </c>
      <c r="B1386" t="inlineStr">
        <is>
          <t>not_invited</t>
        </is>
      </c>
    </row>
    <row r="1387">
      <c r="A1387" t="inlineStr">
        <is>
          <t>CL001386</t>
        </is>
      </c>
      <c r="B1387" t="inlineStr">
        <is>
          <t>not_invited</t>
        </is>
      </c>
    </row>
    <row r="1388">
      <c r="A1388" t="inlineStr">
        <is>
          <t>CL001387</t>
        </is>
      </c>
      <c r="B1388" t="inlineStr">
        <is>
          <t>not_invited</t>
        </is>
      </c>
    </row>
    <row r="1389">
      <c r="A1389" t="inlineStr">
        <is>
          <t>CL001388</t>
        </is>
      </c>
      <c r="B1389" t="inlineStr">
        <is>
          <t>not_invited</t>
        </is>
      </c>
    </row>
    <row r="1390">
      <c r="A1390" t="inlineStr">
        <is>
          <t>CL001389</t>
        </is>
      </c>
      <c r="B1390" t="inlineStr">
        <is>
          <t>not_invited</t>
        </is>
      </c>
    </row>
    <row r="1391">
      <c r="A1391" t="inlineStr">
        <is>
          <t>CL001390</t>
        </is>
      </c>
      <c r="B1391" t="inlineStr">
        <is>
          <t>not_invited</t>
        </is>
      </c>
    </row>
    <row r="1392">
      <c r="A1392" t="inlineStr">
        <is>
          <t>CL001391</t>
        </is>
      </c>
      <c r="B1392" t="inlineStr">
        <is>
          <t>not_invited</t>
        </is>
      </c>
    </row>
    <row r="1393">
      <c r="A1393" t="inlineStr">
        <is>
          <t>CL001392</t>
        </is>
      </c>
      <c r="B1393" t="inlineStr">
        <is>
          <t>not_invited</t>
        </is>
      </c>
    </row>
    <row r="1394">
      <c r="A1394" t="inlineStr">
        <is>
          <t>CL001393</t>
        </is>
      </c>
      <c r="B1394" t="inlineStr">
        <is>
          <t>not_invited</t>
        </is>
      </c>
    </row>
    <row r="1395">
      <c r="A1395" t="inlineStr">
        <is>
          <t>CL001394</t>
        </is>
      </c>
      <c r="B1395" t="inlineStr">
        <is>
          <t>not_invited</t>
        </is>
      </c>
    </row>
    <row r="1396">
      <c r="A1396" t="inlineStr">
        <is>
          <t>CL001395</t>
        </is>
      </c>
      <c r="B1396" t="inlineStr">
        <is>
          <t>not_invited</t>
        </is>
      </c>
    </row>
    <row r="1397">
      <c r="A1397" t="inlineStr">
        <is>
          <t>CL001396</t>
        </is>
      </c>
      <c r="B1397" t="inlineStr">
        <is>
          <t>not_invited</t>
        </is>
      </c>
    </row>
    <row r="1398">
      <c r="A1398" t="inlineStr">
        <is>
          <t>CL001397</t>
        </is>
      </c>
      <c r="B1398" t="inlineStr">
        <is>
          <t>responded</t>
        </is>
      </c>
      <c r="C1398" t="n">
        <v>1</v>
      </c>
      <c r="D1398" t="n">
        <v>1</v>
      </c>
      <c r="E1398" t="n">
        <v>63.24711745155093</v>
      </c>
    </row>
    <row r="1399">
      <c r="A1399" t="inlineStr">
        <is>
          <t>CL001398</t>
        </is>
      </c>
      <c r="B1399" t="inlineStr">
        <is>
          <t>not_invited</t>
        </is>
      </c>
    </row>
    <row r="1400">
      <c r="A1400" t="inlineStr">
        <is>
          <t>CL001399</t>
        </is>
      </c>
      <c r="B1400" t="inlineStr">
        <is>
          <t>not_invited</t>
        </is>
      </c>
    </row>
    <row r="1401">
      <c r="A1401" t="inlineStr">
        <is>
          <t>CL001400</t>
        </is>
      </c>
      <c r="B1401" t="inlineStr">
        <is>
          <t>not_invited</t>
        </is>
      </c>
    </row>
    <row r="1402">
      <c r="A1402" t="inlineStr">
        <is>
          <t>CL001401</t>
        </is>
      </c>
      <c r="B1402" t="inlineStr">
        <is>
          <t>not_invited</t>
        </is>
      </c>
    </row>
    <row r="1403">
      <c r="A1403" t="inlineStr">
        <is>
          <t>CL001402</t>
        </is>
      </c>
      <c r="B1403" t="inlineStr">
        <is>
          <t>not_invited</t>
        </is>
      </c>
    </row>
    <row r="1404">
      <c r="A1404" t="inlineStr">
        <is>
          <t>CL001403</t>
        </is>
      </c>
      <c r="B1404" t="inlineStr">
        <is>
          <t>not_invited</t>
        </is>
      </c>
    </row>
    <row r="1405">
      <c r="A1405" t="inlineStr">
        <is>
          <t>CL001404</t>
        </is>
      </c>
      <c r="B1405" t="inlineStr">
        <is>
          <t>not_invited</t>
        </is>
      </c>
    </row>
    <row r="1406">
      <c r="A1406" t="inlineStr">
        <is>
          <t>CL001405</t>
        </is>
      </c>
      <c r="B1406" t="inlineStr">
        <is>
          <t>not_invited</t>
        </is>
      </c>
    </row>
    <row r="1407">
      <c r="A1407" t="inlineStr">
        <is>
          <t>CL001406</t>
        </is>
      </c>
      <c r="B1407" t="inlineStr">
        <is>
          <t>not_invited</t>
        </is>
      </c>
    </row>
    <row r="1408">
      <c r="A1408" t="inlineStr">
        <is>
          <t>CL001407</t>
        </is>
      </c>
      <c r="B1408" t="inlineStr">
        <is>
          <t>not_invited</t>
        </is>
      </c>
    </row>
    <row r="1409">
      <c r="A1409" t="inlineStr">
        <is>
          <t>CL001408</t>
        </is>
      </c>
      <c r="B1409" t="inlineStr">
        <is>
          <t>responded</t>
        </is>
      </c>
      <c r="C1409" t="n">
        <v>1</v>
      </c>
      <c r="D1409" t="n">
        <v>1</v>
      </c>
      <c r="E1409" t="n">
        <v>63.24711745155093</v>
      </c>
    </row>
    <row r="1410">
      <c r="A1410" t="inlineStr">
        <is>
          <t>CL001409</t>
        </is>
      </c>
      <c r="B1410" t="inlineStr">
        <is>
          <t>not_invited</t>
        </is>
      </c>
    </row>
    <row r="1411">
      <c r="A1411" t="inlineStr">
        <is>
          <t>CL001410</t>
        </is>
      </c>
      <c r="B1411" t="inlineStr">
        <is>
          <t>not_invited</t>
        </is>
      </c>
    </row>
    <row r="1412">
      <c r="A1412" t="inlineStr">
        <is>
          <t>CL001411</t>
        </is>
      </c>
      <c r="B1412" t="inlineStr">
        <is>
          <t>not_invited</t>
        </is>
      </c>
    </row>
    <row r="1413">
      <c r="A1413" t="inlineStr">
        <is>
          <t>CL001412</t>
        </is>
      </c>
      <c r="B1413" t="inlineStr">
        <is>
          <t>not_invited</t>
        </is>
      </c>
    </row>
    <row r="1414">
      <c r="A1414" t="inlineStr">
        <is>
          <t>CL001413</t>
        </is>
      </c>
      <c r="B1414" t="inlineStr">
        <is>
          <t>not_invited</t>
        </is>
      </c>
    </row>
    <row r="1415">
      <c r="A1415" t="inlineStr">
        <is>
          <t>CL001414</t>
        </is>
      </c>
      <c r="B1415" t="inlineStr">
        <is>
          <t>not_invited</t>
        </is>
      </c>
    </row>
    <row r="1416">
      <c r="A1416" t="inlineStr">
        <is>
          <t>CL001415</t>
        </is>
      </c>
      <c r="B1416" t="inlineStr">
        <is>
          <t>not_invited</t>
        </is>
      </c>
    </row>
    <row r="1417">
      <c r="A1417" t="inlineStr">
        <is>
          <t>CL001416</t>
        </is>
      </c>
      <c r="B1417" t="inlineStr">
        <is>
          <t>not_invited</t>
        </is>
      </c>
    </row>
    <row r="1418">
      <c r="A1418" t="inlineStr">
        <is>
          <t>CL001417</t>
        </is>
      </c>
      <c r="B1418" t="inlineStr">
        <is>
          <t>not_invited</t>
        </is>
      </c>
    </row>
    <row r="1419">
      <c r="A1419" t="inlineStr">
        <is>
          <t>CL001418</t>
        </is>
      </c>
      <c r="B1419" t="inlineStr">
        <is>
          <t>not_invited</t>
        </is>
      </c>
    </row>
    <row r="1420">
      <c r="A1420" t="inlineStr">
        <is>
          <t>CL001419</t>
        </is>
      </c>
      <c r="B1420" t="inlineStr">
        <is>
          <t>not_invited</t>
        </is>
      </c>
    </row>
    <row r="1421">
      <c r="A1421" t="inlineStr">
        <is>
          <t>CL001420</t>
        </is>
      </c>
      <c r="B1421" t="inlineStr">
        <is>
          <t>not_invited</t>
        </is>
      </c>
    </row>
    <row r="1422">
      <c r="A1422" t="inlineStr">
        <is>
          <t>CL001421</t>
        </is>
      </c>
      <c r="B1422" t="inlineStr">
        <is>
          <t>not_invited</t>
        </is>
      </c>
    </row>
    <row r="1423">
      <c r="A1423" t="inlineStr">
        <is>
          <t>CL001422</t>
        </is>
      </c>
      <c r="B1423" t="inlineStr">
        <is>
          <t>not_invited</t>
        </is>
      </c>
    </row>
    <row r="1424">
      <c r="A1424" t="inlineStr">
        <is>
          <t>CL001423</t>
        </is>
      </c>
      <c r="B1424" t="inlineStr">
        <is>
          <t>not_invited</t>
        </is>
      </c>
    </row>
    <row r="1425">
      <c r="A1425" t="inlineStr">
        <is>
          <t>CL001424</t>
        </is>
      </c>
      <c r="B1425" t="inlineStr">
        <is>
          <t>not_invited</t>
        </is>
      </c>
    </row>
    <row r="1426">
      <c r="A1426" t="inlineStr">
        <is>
          <t>CL001425</t>
        </is>
      </c>
      <c r="B1426" t="inlineStr">
        <is>
          <t>not_invited</t>
        </is>
      </c>
    </row>
    <row r="1427">
      <c r="A1427" t="inlineStr">
        <is>
          <t>CL001426</t>
        </is>
      </c>
      <c r="B1427" t="inlineStr">
        <is>
          <t>not_invited</t>
        </is>
      </c>
    </row>
    <row r="1428">
      <c r="A1428" t="inlineStr">
        <is>
          <t>CL001427</t>
        </is>
      </c>
      <c r="B1428" t="inlineStr">
        <is>
          <t>not_invited</t>
        </is>
      </c>
    </row>
    <row r="1429">
      <c r="A1429" t="inlineStr">
        <is>
          <t>CL001428</t>
        </is>
      </c>
      <c r="B1429" t="inlineStr">
        <is>
          <t>not_invited</t>
        </is>
      </c>
    </row>
    <row r="1430">
      <c r="A1430" t="inlineStr">
        <is>
          <t>CL001429</t>
        </is>
      </c>
      <c r="B1430" t="inlineStr">
        <is>
          <t>not_invited</t>
        </is>
      </c>
    </row>
    <row r="1431">
      <c r="A1431" t="inlineStr">
        <is>
          <t>CL001430</t>
        </is>
      </c>
      <c r="B1431" t="inlineStr">
        <is>
          <t>not_invited</t>
        </is>
      </c>
    </row>
    <row r="1432">
      <c r="A1432" t="inlineStr">
        <is>
          <t>CL001431</t>
        </is>
      </c>
      <c r="B1432" t="inlineStr">
        <is>
          <t>not_invited</t>
        </is>
      </c>
    </row>
    <row r="1433">
      <c r="A1433" t="inlineStr">
        <is>
          <t>CL001432</t>
        </is>
      </c>
      <c r="B1433" t="inlineStr">
        <is>
          <t>not_invited</t>
        </is>
      </c>
    </row>
    <row r="1434">
      <c r="A1434" t="inlineStr">
        <is>
          <t>CL001433</t>
        </is>
      </c>
      <c r="B1434" t="inlineStr">
        <is>
          <t>not_invited</t>
        </is>
      </c>
    </row>
    <row r="1435">
      <c r="A1435" t="inlineStr">
        <is>
          <t>CL001434</t>
        </is>
      </c>
      <c r="B1435" t="inlineStr">
        <is>
          <t>not_invited</t>
        </is>
      </c>
    </row>
    <row r="1436">
      <c r="A1436" t="inlineStr">
        <is>
          <t>CL001435</t>
        </is>
      </c>
      <c r="B1436" t="inlineStr">
        <is>
          <t>responded</t>
        </is>
      </c>
      <c r="C1436" t="n">
        <v>0</v>
      </c>
      <c r="D1436" t="n">
        <v>0</v>
      </c>
      <c r="E1436" t="n">
        <v>35.29038396266813</v>
      </c>
    </row>
    <row r="1437">
      <c r="A1437" t="inlineStr">
        <is>
          <t>CL001436</t>
        </is>
      </c>
      <c r="B1437" t="inlineStr">
        <is>
          <t>not_invited</t>
        </is>
      </c>
    </row>
    <row r="1438">
      <c r="A1438" t="inlineStr">
        <is>
          <t>CL001437</t>
        </is>
      </c>
      <c r="B1438" t="inlineStr">
        <is>
          <t>not_invited</t>
        </is>
      </c>
    </row>
    <row r="1439">
      <c r="A1439" t="inlineStr">
        <is>
          <t>CL001438</t>
        </is>
      </c>
      <c r="B1439" t="inlineStr">
        <is>
          <t>not_invited</t>
        </is>
      </c>
    </row>
    <row r="1440">
      <c r="A1440" t="inlineStr">
        <is>
          <t>CL001439</t>
        </is>
      </c>
      <c r="B1440" t="inlineStr">
        <is>
          <t>not_invited</t>
        </is>
      </c>
    </row>
    <row r="1441">
      <c r="A1441" t="inlineStr">
        <is>
          <t>CL001440</t>
        </is>
      </c>
      <c r="B1441" t="inlineStr">
        <is>
          <t>not_invited</t>
        </is>
      </c>
    </row>
    <row r="1442">
      <c r="A1442" t="inlineStr">
        <is>
          <t>CL001441</t>
        </is>
      </c>
      <c r="B1442" t="inlineStr">
        <is>
          <t>not_invited</t>
        </is>
      </c>
    </row>
    <row r="1443">
      <c r="A1443" t="inlineStr">
        <is>
          <t>CL001442</t>
        </is>
      </c>
      <c r="B1443" t="inlineStr">
        <is>
          <t>not_invited</t>
        </is>
      </c>
    </row>
    <row r="1444">
      <c r="A1444" t="inlineStr">
        <is>
          <t>CL001443</t>
        </is>
      </c>
      <c r="B1444" t="inlineStr">
        <is>
          <t>not_invited</t>
        </is>
      </c>
    </row>
    <row r="1445">
      <c r="A1445" t="inlineStr">
        <is>
          <t>CL001444</t>
        </is>
      </c>
      <c r="B1445" t="inlineStr">
        <is>
          <t>not_invited</t>
        </is>
      </c>
    </row>
    <row r="1446">
      <c r="A1446" t="inlineStr">
        <is>
          <t>CL001445</t>
        </is>
      </c>
      <c r="B1446" t="inlineStr">
        <is>
          <t>not_invited</t>
        </is>
      </c>
    </row>
    <row r="1447">
      <c r="A1447" t="inlineStr">
        <is>
          <t>CL001446</t>
        </is>
      </c>
      <c r="B1447" t="inlineStr">
        <is>
          <t>not_invited</t>
        </is>
      </c>
    </row>
    <row r="1448">
      <c r="A1448" t="inlineStr">
        <is>
          <t>CL001447</t>
        </is>
      </c>
      <c r="B1448" t="inlineStr">
        <is>
          <t>not_invited</t>
        </is>
      </c>
    </row>
    <row r="1449">
      <c r="A1449" t="inlineStr">
        <is>
          <t>CL001448</t>
        </is>
      </c>
      <c r="B1449" t="inlineStr">
        <is>
          <t>not_invited</t>
        </is>
      </c>
    </row>
    <row r="1450">
      <c r="A1450" t="inlineStr">
        <is>
          <t>CL001449</t>
        </is>
      </c>
      <c r="B1450" t="inlineStr">
        <is>
          <t>not_invited</t>
        </is>
      </c>
    </row>
    <row r="1451">
      <c r="A1451" t="inlineStr">
        <is>
          <t>CL001450</t>
        </is>
      </c>
      <c r="B1451" t="inlineStr">
        <is>
          <t>not_invited</t>
        </is>
      </c>
    </row>
    <row r="1452">
      <c r="A1452" t="inlineStr">
        <is>
          <t>CL001451</t>
        </is>
      </c>
      <c r="B1452" t="inlineStr">
        <is>
          <t>not_invited</t>
        </is>
      </c>
    </row>
    <row r="1453">
      <c r="A1453" t="inlineStr">
        <is>
          <t>CL001452</t>
        </is>
      </c>
      <c r="B1453" t="inlineStr">
        <is>
          <t>not_invited</t>
        </is>
      </c>
    </row>
    <row r="1454">
      <c r="A1454" t="inlineStr">
        <is>
          <t>CL001453</t>
        </is>
      </c>
      <c r="B1454" t="inlineStr">
        <is>
          <t>not_invited</t>
        </is>
      </c>
    </row>
    <row r="1455">
      <c r="A1455" t="inlineStr">
        <is>
          <t>CL001454</t>
        </is>
      </c>
      <c r="B1455" t="inlineStr">
        <is>
          <t>not_invited</t>
        </is>
      </c>
    </row>
    <row r="1456">
      <c r="A1456" t="inlineStr">
        <is>
          <t>CL001455</t>
        </is>
      </c>
      <c r="B1456" t="inlineStr">
        <is>
          <t>not_invited</t>
        </is>
      </c>
    </row>
    <row r="1457">
      <c r="A1457" t="inlineStr">
        <is>
          <t>CL001456</t>
        </is>
      </c>
      <c r="B1457" t="inlineStr">
        <is>
          <t>not_invited</t>
        </is>
      </c>
    </row>
    <row r="1458">
      <c r="A1458" t="inlineStr">
        <is>
          <t>CL001457</t>
        </is>
      </c>
      <c r="B1458" t="inlineStr">
        <is>
          <t>not_invited</t>
        </is>
      </c>
    </row>
    <row r="1459">
      <c r="A1459" t="inlineStr">
        <is>
          <t>CL001458</t>
        </is>
      </c>
      <c r="B1459" t="inlineStr">
        <is>
          <t>not_invited</t>
        </is>
      </c>
    </row>
    <row r="1460">
      <c r="A1460" t="inlineStr">
        <is>
          <t>CL001459</t>
        </is>
      </c>
      <c r="B1460" t="inlineStr">
        <is>
          <t>not_invited</t>
        </is>
      </c>
    </row>
    <row r="1461">
      <c r="A1461" t="inlineStr">
        <is>
          <t>CL001460</t>
        </is>
      </c>
      <c r="B1461" t="inlineStr">
        <is>
          <t>not_invited</t>
        </is>
      </c>
    </row>
    <row r="1462">
      <c r="A1462" t="inlineStr">
        <is>
          <t>CL001461</t>
        </is>
      </c>
      <c r="B1462" t="inlineStr">
        <is>
          <t>not_invited</t>
        </is>
      </c>
    </row>
    <row r="1463">
      <c r="A1463" t="inlineStr">
        <is>
          <t>CL001462</t>
        </is>
      </c>
      <c r="B1463" t="inlineStr">
        <is>
          <t>not_invited</t>
        </is>
      </c>
    </row>
    <row r="1464">
      <c r="A1464" t="inlineStr">
        <is>
          <t>CL001463</t>
        </is>
      </c>
      <c r="B1464" t="inlineStr">
        <is>
          <t>not_invited</t>
        </is>
      </c>
    </row>
    <row r="1465">
      <c r="A1465" t="inlineStr">
        <is>
          <t>CL001464</t>
        </is>
      </c>
      <c r="B1465" t="inlineStr">
        <is>
          <t>not_invited</t>
        </is>
      </c>
    </row>
    <row r="1466">
      <c r="A1466" t="inlineStr">
        <is>
          <t>CL001465</t>
        </is>
      </c>
      <c r="B1466" t="inlineStr">
        <is>
          <t>not_invited</t>
        </is>
      </c>
    </row>
    <row r="1467">
      <c r="A1467" t="inlineStr">
        <is>
          <t>CL001466</t>
        </is>
      </c>
      <c r="B1467" t="inlineStr">
        <is>
          <t>not_invited</t>
        </is>
      </c>
    </row>
    <row r="1468">
      <c r="A1468" t="inlineStr">
        <is>
          <t>CL001467</t>
        </is>
      </c>
      <c r="B1468" t="inlineStr">
        <is>
          <t>not_invited</t>
        </is>
      </c>
    </row>
    <row r="1469">
      <c r="A1469" t="inlineStr">
        <is>
          <t>CL001468</t>
        </is>
      </c>
      <c r="B1469" t="inlineStr">
        <is>
          <t>not_invited</t>
        </is>
      </c>
    </row>
    <row r="1470">
      <c r="A1470" t="inlineStr">
        <is>
          <t>CL001469</t>
        </is>
      </c>
      <c r="B1470" t="inlineStr">
        <is>
          <t>not_invited</t>
        </is>
      </c>
    </row>
    <row r="1471">
      <c r="A1471" t="inlineStr">
        <is>
          <t>CL001470</t>
        </is>
      </c>
      <c r="B1471" t="inlineStr">
        <is>
          <t>not_invited</t>
        </is>
      </c>
    </row>
    <row r="1472">
      <c r="A1472" t="inlineStr">
        <is>
          <t>CL001471</t>
        </is>
      </c>
      <c r="B1472" t="inlineStr">
        <is>
          <t>not_invited</t>
        </is>
      </c>
    </row>
    <row r="1473">
      <c r="A1473" t="inlineStr">
        <is>
          <t>CL001472</t>
        </is>
      </c>
      <c r="B1473" t="inlineStr">
        <is>
          <t>not_invited</t>
        </is>
      </c>
    </row>
    <row r="1474">
      <c r="A1474" t="inlineStr">
        <is>
          <t>CL001473</t>
        </is>
      </c>
      <c r="B1474" t="inlineStr">
        <is>
          <t>not_invited</t>
        </is>
      </c>
    </row>
    <row r="1475">
      <c r="A1475" t="inlineStr">
        <is>
          <t>CL001474</t>
        </is>
      </c>
      <c r="B1475" t="inlineStr">
        <is>
          <t>not_invited</t>
        </is>
      </c>
    </row>
    <row r="1476">
      <c r="A1476" t="inlineStr">
        <is>
          <t>CL001475</t>
        </is>
      </c>
      <c r="B1476" t="inlineStr">
        <is>
          <t>not_invited</t>
        </is>
      </c>
    </row>
    <row r="1477">
      <c r="A1477" t="inlineStr">
        <is>
          <t>CL001476</t>
        </is>
      </c>
      <c r="B1477" t="inlineStr">
        <is>
          <t>not_invited</t>
        </is>
      </c>
    </row>
    <row r="1478">
      <c r="A1478" t="inlineStr">
        <is>
          <t>CL001477</t>
        </is>
      </c>
      <c r="B1478" t="inlineStr">
        <is>
          <t>not_invited</t>
        </is>
      </c>
    </row>
    <row r="1479">
      <c r="A1479" t="inlineStr">
        <is>
          <t>CL001478</t>
        </is>
      </c>
      <c r="B1479" t="inlineStr">
        <is>
          <t>not_invited</t>
        </is>
      </c>
    </row>
    <row r="1480">
      <c r="A1480" t="inlineStr">
        <is>
          <t>CL001479</t>
        </is>
      </c>
      <c r="B1480" t="inlineStr">
        <is>
          <t>not_invited</t>
        </is>
      </c>
    </row>
    <row r="1481">
      <c r="A1481" t="inlineStr">
        <is>
          <t>CL001480</t>
        </is>
      </c>
      <c r="B1481" t="inlineStr">
        <is>
          <t>not_invited</t>
        </is>
      </c>
    </row>
    <row r="1482">
      <c r="A1482" t="inlineStr">
        <is>
          <t>CL001481</t>
        </is>
      </c>
      <c r="B1482" t="inlineStr">
        <is>
          <t>not_invited</t>
        </is>
      </c>
    </row>
    <row r="1483">
      <c r="A1483" t="inlineStr">
        <is>
          <t>CL001482</t>
        </is>
      </c>
      <c r="B1483" t="inlineStr">
        <is>
          <t>not_invited</t>
        </is>
      </c>
    </row>
    <row r="1484">
      <c r="A1484" t="inlineStr">
        <is>
          <t>CL001483</t>
        </is>
      </c>
      <c r="B1484" t="inlineStr">
        <is>
          <t>not_invited</t>
        </is>
      </c>
    </row>
    <row r="1485">
      <c r="A1485" t="inlineStr">
        <is>
          <t>CL001484</t>
        </is>
      </c>
      <c r="B1485" t="inlineStr">
        <is>
          <t>not_invited</t>
        </is>
      </c>
    </row>
    <row r="1486">
      <c r="A1486" t="inlineStr">
        <is>
          <t>CL001485</t>
        </is>
      </c>
      <c r="B1486" t="inlineStr">
        <is>
          <t>not_invited</t>
        </is>
      </c>
    </row>
    <row r="1487">
      <c r="A1487" t="inlineStr">
        <is>
          <t>CL001486</t>
        </is>
      </c>
      <c r="B1487" t="inlineStr">
        <is>
          <t>not_invited</t>
        </is>
      </c>
    </row>
    <row r="1488">
      <c r="A1488" t="inlineStr">
        <is>
          <t>CL001487</t>
        </is>
      </c>
      <c r="B1488" t="inlineStr">
        <is>
          <t>not_invited</t>
        </is>
      </c>
    </row>
    <row r="1489">
      <c r="A1489" t="inlineStr">
        <is>
          <t>CL001488</t>
        </is>
      </c>
      <c r="B1489" t="inlineStr">
        <is>
          <t>not_invited</t>
        </is>
      </c>
    </row>
    <row r="1490">
      <c r="A1490" t="inlineStr">
        <is>
          <t>CL001489</t>
        </is>
      </c>
      <c r="B1490" t="inlineStr">
        <is>
          <t>not_invited</t>
        </is>
      </c>
    </row>
    <row r="1491">
      <c r="A1491" t="inlineStr">
        <is>
          <t>CL001490</t>
        </is>
      </c>
      <c r="B1491" t="inlineStr">
        <is>
          <t>not_invited</t>
        </is>
      </c>
    </row>
    <row r="1492">
      <c r="A1492" t="inlineStr">
        <is>
          <t>CL001491</t>
        </is>
      </c>
      <c r="B1492" t="inlineStr">
        <is>
          <t>not_invited</t>
        </is>
      </c>
    </row>
    <row r="1493">
      <c r="A1493" t="inlineStr">
        <is>
          <t>CL001492</t>
        </is>
      </c>
      <c r="B1493" t="inlineStr">
        <is>
          <t>not_invited</t>
        </is>
      </c>
    </row>
    <row r="1494">
      <c r="A1494" t="inlineStr">
        <is>
          <t>CL001493</t>
        </is>
      </c>
      <c r="B1494" t="inlineStr">
        <is>
          <t>not_invited</t>
        </is>
      </c>
    </row>
    <row r="1495">
      <c r="A1495" t="inlineStr">
        <is>
          <t>CL001494</t>
        </is>
      </c>
      <c r="B1495" t="inlineStr">
        <is>
          <t>not_invited</t>
        </is>
      </c>
    </row>
    <row r="1496">
      <c r="A1496" t="inlineStr">
        <is>
          <t>CL001495</t>
        </is>
      </c>
      <c r="B1496" t="inlineStr">
        <is>
          <t>not_invited</t>
        </is>
      </c>
    </row>
    <row r="1497">
      <c r="A1497" t="inlineStr">
        <is>
          <t>CL001496</t>
        </is>
      </c>
      <c r="B1497" t="inlineStr">
        <is>
          <t>not_invited</t>
        </is>
      </c>
    </row>
    <row r="1498">
      <c r="A1498" t="inlineStr">
        <is>
          <t>CL001497</t>
        </is>
      </c>
      <c r="B1498" t="inlineStr">
        <is>
          <t>not_invited</t>
        </is>
      </c>
    </row>
    <row r="1499">
      <c r="A1499" t="inlineStr">
        <is>
          <t>CL001498</t>
        </is>
      </c>
      <c r="B1499" t="inlineStr">
        <is>
          <t>not_invited</t>
        </is>
      </c>
    </row>
    <row r="1500">
      <c r="A1500" t="inlineStr">
        <is>
          <t>CL001499</t>
        </is>
      </c>
      <c r="B1500" t="inlineStr">
        <is>
          <t>not_invited</t>
        </is>
      </c>
    </row>
    <row r="1501">
      <c r="A1501" t="inlineStr">
        <is>
          <t>CL001500</t>
        </is>
      </c>
      <c r="B1501" t="inlineStr">
        <is>
          <t>not_invited</t>
        </is>
      </c>
    </row>
    <row r="1502">
      <c r="A1502" t="inlineStr">
        <is>
          <t>CL001501</t>
        </is>
      </c>
      <c r="B1502" t="inlineStr">
        <is>
          <t>not_invited</t>
        </is>
      </c>
    </row>
    <row r="1503">
      <c r="A1503" t="inlineStr">
        <is>
          <t>CL001502</t>
        </is>
      </c>
      <c r="B1503" t="inlineStr">
        <is>
          <t>not_invited</t>
        </is>
      </c>
    </row>
    <row r="1504">
      <c r="A1504" t="inlineStr">
        <is>
          <t>CL001503</t>
        </is>
      </c>
      <c r="B1504" t="inlineStr">
        <is>
          <t>not_invited</t>
        </is>
      </c>
    </row>
    <row r="1505">
      <c r="A1505" t="inlineStr">
        <is>
          <t>CL001504</t>
        </is>
      </c>
      <c r="B1505" t="inlineStr">
        <is>
          <t>not_invited</t>
        </is>
      </c>
    </row>
    <row r="1506">
      <c r="A1506" t="inlineStr">
        <is>
          <t>CL001505</t>
        </is>
      </c>
      <c r="B1506" t="inlineStr">
        <is>
          <t>not_invited</t>
        </is>
      </c>
    </row>
    <row r="1507">
      <c r="A1507" t="inlineStr">
        <is>
          <t>CL001506</t>
        </is>
      </c>
      <c r="B1507" t="inlineStr">
        <is>
          <t>not_invited</t>
        </is>
      </c>
    </row>
    <row r="1508">
      <c r="A1508" t="inlineStr">
        <is>
          <t>CL001507</t>
        </is>
      </c>
      <c r="B1508" t="inlineStr">
        <is>
          <t>not_invited</t>
        </is>
      </c>
    </row>
    <row r="1509">
      <c r="A1509" t="inlineStr">
        <is>
          <t>CL001508</t>
        </is>
      </c>
      <c r="B1509" t="inlineStr">
        <is>
          <t>not_invited</t>
        </is>
      </c>
    </row>
    <row r="1510">
      <c r="A1510" t="inlineStr">
        <is>
          <t>CL001509</t>
        </is>
      </c>
      <c r="B1510" t="inlineStr">
        <is>
          <t>not_invited</t>
        </is>
      </c>
    </row>
    <row r="1511">
      <c r="A1511" t="inlineStr">
        <is>
          <t>CL001510</t>
        </is>
      </c>
      <c r="B1511" t="inlineStr">
        <is>
          <t>not_invited</t>
        </is>
      </c>
    </row>
    <row r="1512">
      <c r="A1512" t="inlineStr">
        <is>
          <t>CL001511</t>
        </is>
      </c>
      <c r="B1512" t="inlineStr">
        <is>
          <t>responded</t>
        </is>
      </c>
      <c r="C1512" t="n">
        <v>0</v>
      </c>
      <c r="D1512" t="n">
        <v>0</v>
      </c>
      <c r="E1512" t="n">
        <v>35.29038396266813</v>
      </c>
    </row>
    <row r="1513">
      <c r="A1513" t="inlineStr">
        <is>
          <t>CL001512</t>
        </is>
      </c>
      <c r="B1513" t="inlineStr">
        <is>
          <t>not_invited</t>
        </is>
      </c>
    </row>
    <row r="1514">
      <c r="A1514" t="inlineStr">
        <is>
          <t>CL001513</t>
        </is>
      </c>
      <c r="B1514" t="inlineStr">
        <is>
          <t>not_invited</t>
        </is>
      </c>
    </row>
    <row r="1515">
      <c r="A1515" t="inlineStr">
        <is>
          <t>CL001514</t>
        </is>
      </c>
      <c r="B1515" t="inlineStr">
        <is>
          <t>not_invited</t>
        </is>
      </c>
    </row>
    <row r="1516">
      <c r="A1516" t="inlineStr">
        <is>
          <t>CL001515</t>
        </is>
      </c>
      <c r="B1516" t="inlineStr">
        <is>
          <t>not_invited</t>
        </is>
      </c>
    </row>
    <row r="1517">
      <c r="A1517" t="inlineStr">
        <is>
          <t>CL001516</t>
        </is>
      </c>
      <c r="B1517" t="inlineStr">
        <is>
          <t>not_invited</t>
        </is>
      </c>
    </row>
    <row r="1518">
      <c r="A1518" t="inlineStr">
        <is>
          <t>CL001517</t>
        </is>
      </c>
      <c r="B1518" t="inlineStr">
        <is>
          <t>not_invited</t>
        </is>
      </c>
    </row>
    <row r="1519">
      <c r="A1519" t="inlineStr">
        <is>
          <t>CL001518</t>
        </is>
      </c>
      <c r="B1519" t="inlineStr">
        <is>
          <t>not_invited</t>
        </is>
      </c>
    </row>
    <row r="1520">
      <c r="A1520" t="inlineStr">
        <is>
          <t>CL001519</t>
        </is>
      </c>
      <c r="B1520" t="inlineStr">
        <is>
          <t>not_invited</t>
        </is>
      </c>
    </row>
    <row r="1521">
      <c r="A1521" t="inlineStr">
        <is>
          <t>CL001520</t>
        </is>
      </c>
      <c r="B1521" t="inlineStr">
        <is>
          <t>not_invited</t>
        </is>
      </c>
    </row>
    <row r="1522">
      <c r="A1522" t="inlineStr">
        <is>
          <t>CL001521</t>
        </is>
      </c>
      <c r="B1522" t="inlineStr">
        <is>
          <t>not_invited</t>
        </is>
      </c>
    </row>
    <row r="1523">
      <c r="A1523" t="inlineStr">
        <is>
          <t>CL001522</t>
        </is>
      </c>
      <c r="B1523" t="inlineStr">
        <is>
          <t>not_invited</t>
        </is>
      </c>
    </row>
    <row r="1524">
      <c r="A1524" t="inlineStr">
        <is>
          <t>CL001523</t>
        </is>
      </c>
      <c r="B1524" t="inlineStr">
        <is>
          <t>not_invited</t>
        </is>
      </c>
    </row>
    <row r="1525">
      <c r="A1525" t="inlineStr">
        <is>
          <t>CL001524</t>
        </is>
      </c>
      <c r="B1525" t="inlineStr">
        <is>
          <t>not_invited</t>
        </is>
      </c>
    </row>
    <row r="1526">
      <c r="A1526" t="inlineStr">
        <is>
          <t>CL001525</t>
        </is>
      </c>
      <c r="B1526" t="inlineStr">
        <is>
          <t>not_invited</t>
        </is>
      </c>
    </row>
    <row r="1527">
      <c r="A1527" t="inlineStr">
        <is>
          <t>CL001526</t>
        </is>
      </c>
      <c r="B1527" t="inlineStr">
        <is>
          <t>not_invited</t>
        </is>
      </c>
    </row>
    <row r="1528">
      <c r="A1528" t="inlineStr">
        <is>
          <t>CL001527</t>
        </is>
      </c>
      <c r="B1528" t="inlineStr">
        <is>
          <t>not_invited</t>
        </is>
      </c>
    </row>
    <row r="1529">
      <c r="A1529" t="inlineStr">
        <is>
          <t>CL001528</t>
        </is>
      </c>
      <c r="B1529" t="inlineStr">
        <is>
          <t>not_invited</t>
        </is>
      </c>
    </row>
    <row r="1530">
      <c r="A1530" t="inlineStr">
        <is>
          <t>CL001529</t>
        </is>
      </c>
      <c r="B1530" t="inlineStr">
        <is>
          <t>not_invited</t>
        </is>
      </c>
    </row>
    <row r="1531">
      <c r="A1531" t="inlineStr">
        <is>
          <t>CL001530</t>
        </is>
      </c>
      <c r="B1531" t="inlineStr">
        <is>
          <t>not_invited</t>
        </is>
      </c>
    </row>
    <row r="1532">
      <c r="A1532" t="inlineStr">
        <is>
          <t>CL001531</t>
        </is>
      </c>
      <c r="B1532" t="inlineStr">
        <is>
          <t>not_invited</t>
        </is>
      </c>
    </row>
    <row r="1533">
      <c r="A1533" t="inlineStr">
        <is>
          <t>CL001532</t>
        </is>
      </c>
      <c r="B1533" t="inlineStr">
        <is>
          <t>not_invited</t>
        </is>
      </c>
    </row>
    <row r="1534">
      <c r="A1534" t="inlineStr">
        <is>
          <t>CL001533</t>
        </is>
      </c>
      <c r="B1534" t="inlineStr">
        <is>
          <t>not_invited</t>
        </is>
      </c>
    </row>
    <row r="1535">
      <c r="A1535" t="inlineStr">
        <is>
          <t>CL001534</t>
        </is>
      </c>
      <c r="B1535" t="inlineStr">
        <is>
          <t>not_invited</t>
        </is>
      </c>
    </row>
    <row r="1536">
      <c r="A1536" t="inlineStr">
        <is>
          <t>CL001535</t>
        </is>
      </c>
      <c r="B1536" t="inlineStr">
        <is>
          <t>not_invited</t>
        </is>
      </c>
    </row>
    <row r="1537">
      <c r="A1537" t="inlineStr">
        <is>
          <t>CL001536</t>
        </is>
      </c>
      <c r="B1537" t="inlineStr">
        <is>
          <t>not_invited</t>
        </is>
      </c>
    </row>
    <row r="1538">
      <c r="A1538" t="inlineStr">
        <is>
          <t>CL001537</t>
        </is>
      </c>
      <c r="B1538" t="inlineStr">
        <is>
          <t>not_invited</t>
        </is>
      </c>
    </row>
    <row r="1539">
      <c r="A1539" t="inlineStr">
        <is>
          <t>CL001538</t>
        </is>
      </c>
      <c r="B1539" t="inlineStr">
        <is>
          <t>not_invited</t>
        </is>
      </c>
    </row>
    <row r="1540">
      <c r="A1540" t="inlineStr">
        <is>
          <t>CL001539</t>
        </is>
      </c>
      <c r="B1540" t="inlineStr">
        <is>
          <t>not_invited</t>
        </is>
      </c>
    </row>
    <row r="1541">
      <c r="A1541" t="inlineStr">
        <is>
          <t>CL001540</t>
        </is>
      </c>
      <c r="B1541" t="inlineStr">
        <is>
          <t>not_invited</t>
        </is>
      </c>
    </row>
    <row r="1542">
      <c r="A1542" t="inlineStr">
        <is>
          <t>CL001541</t>
        </is>
      </c>
      <c r="B1542" t="inlineStr">
        <is>
          <t>not_invited</t>
        </is>
      </c>
    </row>
    <row r="1543">
      <c r="A1543" t="inlineStr">
        <is>
          <t>CL001542</t>
        </is>
      </c>
      <c r="B1543" t="inlineStr">
        <is>
          <t>not_invited</t>
        </is>
      </c>
    </row>
    <row r="1544">
      <c r="A1544" t="inlineStr">
        <is>
          <t>CL001543</t>
        </is>
      </c>
      <c r="B1544" t="inlineStr">
        <is>
          <t>not_invited</t>
        </is>
      </c>
    </row>
    <row r="1545">
      <c r="A1545" t="inlineStr">
        <is>
          <t>CL001544</t>
        </is>
      </c>
      <c r="B1545" t="inlineStr">
        <is>
          <t>not_invited</t>
        </is>
      </c>
    </row>
    <row r="1546">
      <c r="A1546" t="inlineStr">
        <is>
          <t>CL001545</t>
        </is>
      </c>
      <c r="B1546" t="inlineStr">
        <is>
          <t>not_invited</t>
        </is>
      </c>
    </row>
    <row r="1547">
      <c r="A1547" t="inlineStr">
        <is>
          <t>CL001546</t>
        </is>
      </c>
      <c r="B1547" t="inlineStr">
        <is>
          <t>not_invited</t>
        </is>
      </c>
    </row>
    <row r="1548">
      <c r="A1548" t="inlineStr">
        <is>
          <t>CL001547</t>
        </is>
      </c>
      <c r="B1548" t="inlineStr">
        <is>
          <t>not_invited</t>
        </is>
      </c>
    </row>
    <row r="1549">
      <c r="A1549" t="inlineStr">
        <is>
          <t>CL001548</t>
        </is>
      </c>
      <c r="B1549" t="inlineStr">
        <is>
          <t>not_invited</t>
        </is>
      </c>
    </row>
    <row r="1550">
      <c r="A1550" t="inlineStr">
        <is>
          <t>CL001549</t>
        </is>
      </c>
      <c r="B1550" t="inlineStr">
        <is>
          <t>not_invited</t>
        </is>
      </c>
    </row>
    <row r="1551">
      <c r="A1551" t="inlineStr">
        <is>
          <t>CL001550</t>
        </is>
      </c>
      <c r="B1551" t="inlineStr">
        <is>
          <t>not_invited</t>
        </is>
      </c>
    </row>
    <row r="1552">
      <c r="A1552" t="inlineStr">
        <is>
          <t>CL001551</t>
        </is>
      </c>
      <c r="B1552" t="inlineStr">
        <is>
          <t>not_invited</t>
        </is>
      </c>
    </row>
    <row r="1553">
      <c r="A1553" t="inlineStr">
        <is>
          <t>CL001552</t>
        </is>
      </c>
      <c r="B1553" t="inlineStr">
        <is>
          <t>not_invited</t>
        </is>
      </c>
    </row>
    <row r="1554">
      <c r="A1554" t="inlineStr">
        <is>
          <t>CL001553</t>
        </is>
      </c>
      <c r="B1554" t="inlineStr">
        <is>
          <t>nonresponse</t>
        </is>
      </c>
    </row>
    <row r="1555">
      <c r="A1555" t="inlineStr">
        <is>
          <t>CL001554</t>
        </is>
      </c>
      <c r="B1555" t="inlineStr">
        <is>
          <t>not_invited</t>
        </is>
      </c>
    </row>
    <row r="1556">
      <c r="A1556" t="inlineStr">
        <is>
          <t>CL001555</t>
        </is>
      </c>
      <c r="B1556" t="inlineStr">
        <is>
          <t>not_invited</t>
        </is>
      </c>
    </row>
    <row r="1557">
      <c r="A1557" t="inlineStr">
        <is>
          <t>CL001556</t>
        </is>
      </c>
      <c r="B1557" t="inlineStr">
        <is>
          <t>not_invited</t>
        </is>
      </c>
    </row>
    <row r="1558">
      <c r="A1558" t="inlineStr">
        <is>
          <t>CL001557</t>
        </is>
      </c>
      <c r="B1558" t="inlineStr">
        <is>
          <t>not_invited</t>
        </is>
      </c>
    </row>
    <row r="1559">
      <c r="A1559" t="inlineStr">
        <is>
          <t>CL001558</t>
        </is>
      </c>
      <c r="B1559" t="inlineStr">
        <is>
          <t>not_invited</t>
        </is>
      </c>
    </row>
    <row r="1560">
      <c r="A1560" t="inlineStr">
        <is>
          <t>CL001559</t>
        </is>
      </c>
      <c r="B1560" t="inlineStr">
        <is>
          <t>not_invited</t>
        </is>
      </c>
    </row>
    <row r="1561">
      <c r="A1561" t="inlineStr">
        <is>
          <t>CL001560</t>
        </is>
      </c>
      <c r="B1561" t="inlineStr">
        <is>
          <t>not_invited</t>
        </is>
      </c>
    </row>
    <row r="1562">
      <c r="A1562" t="inlineStr">
        <is>
          <t>CL001561</t>
        </is>
      </c>
      <c r="B1562" t="inlineStr">
        <is>
          <t>not_invited</t>
        </is>
      </c>
    </row>
    <row r="1563">
      <c r="A1563" t="inlineStr">
        <is>
          <t>CL001562</t>
        </is>
      </c>
      <c r="B1563" t="inlineStr">
        <is>
          <t>not_invited</t>
        </is>
      </c>
    </row>
    <row r="1564">
      <c r="A1564" t="inlineStr">
        <is>
          <t>CL001563</t>
        </is>
      </c>
      <c r="B1564" t="inlineStr">
        <is>
          <t>not_invited</t>
        </is>
      </c>
    </row>
    <row r="1565">
      <c r="A1565" t="inlineStr">
        <is>
          <t>CL001564</t>
        </is>
      </c>
      <c r="B1565" t="inlineStr">
        <is>
          <t>not_invited</t>
        </is>
      </c>
    </row>
    <row r="1566">
      <c r="A1566" t="inlineStr">
        <is>
          <t>CL001565</t>
        </is>
      </c>
      <c r="B1566" t="inlineStr">
        <is>
          <t>responded</t>
        </is>
      </c>
      <c r="C1566" t="n">
        <v>0</v>
      </c>
      <c r="D1566" t="n">
        <v>0</v>
      </c>
      <c r="E1566" t="n">
        <v>35.29038396266813</v>
      </c>
    </row>
    <row r="1567">
      <c r="A1567" t="inlineStr">
        <is>
          <t>CL001566</t>
        </is>
      </c>
      <c r="B1567" t="inlineStr">
        <is>
          <t>not_invited</t>
        </is>
      </c>
    </row>
    <row r="1568">
      <c r="A1568" t="inlineStr">
        <is>
          <t>CL001567</t>
        </is>
      </c>
      <c r="B1568" t="inlineStr">
        <is>
          <t>not_invited</t>
        </is>
      </c>
    </row>
    <row r="1569">
      <c r="A1569" t="inlineStr">
        <is>
          <t>CL001568</t>
        </is>
      </c>
      <c r="B1569" t="inlineStr">
        <is>
          <t>not_invited</t>
        </is>
      </c>
    </row>
    <row r="1570">
      <c r="A1570" t="inlineStr">
        <is>
          <t>CL001569</t>
        </is>
      </c>
      <c r="B1570" t="inlineStr">
        <is>
          <t>not_invited</t>
        </is>
      </c>
    </row>
    <row r="1571">
      <c r="A1571" t="inlineStr">
        <is>
          <t>CL001570</t>
        </is>
      </c>
      <c r="B1571" t="inlineStr">
        <is>
          <t>not_invited</t>
        </is>
      </c>
    </row>
    <row r="1572">
      <c r="A1572" t="inlineStr">
        <is>
          <t>CL001571</t>
        </is>
      </c>
      <c r="B1572" t="inlineStr">
        <is>
          <t>not_invited</t>
        </is>
      </c>
    </row>
    <row r="1573">
      <c r="A1573" t="inlineStr">
        <is>
          <t>CL001572</t>
        </is>
      </c>
      <c r="B1573" t="inlineStr">
        <is>
          <t>not_invited</t>
        </is>
      </c>
    </row>
    <row r="1574">
      <c r="A1574" t="inlineStr">
        <is>
          <t>CL001573</t>
        </is>
      </c>
      <c r="B1574" t="inlineStr">
        <is>
          <t>not_invited</t>
        </is>
      </c>
    </row>
    <row r="1575">
      <c r="A1575" t="inlineStr">
        <is>
          <t>CL001574</t>
        </is>
      </c>
      <c r="B1575" t="inlineStr">
        <is>
          <t>not_invited</t>
        </is>
      </c>
    </row>
    <row r="1576">
      <c r="A1576" t="inlineStr">
        <is>
          <t>CL001575</t>
        </is>
      </c>
      <c r="B1576" t="inlineStr">
        <is>
          <t>not_invited</t>
        </is>
      </c>
    </row>
    <row r="1577">
      <c r="A1577" t="inlineStr">
        <is>
          <t>CL001576</t>
        </is>
      </c>
      <c r="B1577" t="inlineStr">
        <is>
          <t>not_invited</t>
        </is>
      </c>
    </row>
    <row r="1578">
      <c r="A1578" t="inlineStr">
        <is>
          <t>CL001577</t>
        </is>
      </c>
      <c r="B1578" t="inlineStr">
        <is>
          <t>not_invited</t>
        </is>
      </c>
    </row>
    <row r="1579">
      <c r="A1579" t="inlineStr">
        <is>
          <t>CL001578</t>
        </is>
      </c>
      <c r="B1579" t="inlineStr">
        <is>
          <t>not_invited</t>
        </is>
      </c>
    </row>
    <row r="1580">
      <c r="A1580" t="inlineStr">
        <is>
          <t>CL001579</t>
        </is>
      </c>
      <c r="B1580" t="inlineStr">
        <is>
          <t>not_invited</t>
        </is>
      </c>
    </row>
    <row r="1581">
      <c r="A1581" t="inlineStr">
        <is>
          <t>CL001580</t>
        </is>
      </c>
      <c r="B1581" t="inlineStr">
        <is>
          <t>not_invited</t>
        </is>
      </c>
    </row>
    <row r="1582">
      <c r="A1582" t="inlineStr">
        <is>
          <t>CL001581</t>
        </is>
      </c>
      <c r="B1582" t="inlineStr">
        <is>
          <t>responded</t>
        </is>
      </c>
      <c r="C1582" t="n">
        <v>0</v>
      </c>
      <c r="D1582" t="n">
        <v>0</v>
      </c>
      <c r="E1582" t="n">
        <v>35.29038396266813</v>
      </c>
    </row>
    <row r="1583">
      <c r="A1583" t="inlineStr">
        <is>
          <t>CL001582</t>
        </is>
      </c>
      <c r="B1583" t="inlineStr">
        <is>
          <t>not_invited</t>
        </is>
      </c>
    </row>
    <row r="1584">
      <c r="A1584" t="inlineStr">
        <is>
          <t>CL001583</t>
        </is>
      </c>
      <c r="B1584" t="inlineStr">
        <is>
          <t>not_invited</t>
        </is>
      </c>
    </row>
    <row r="1585">
      <c r="A1585" t="inlineStr">
        <is>
          <t>CL001584</t>
        </is>
      </c>
      <c r="B1585" t="inlineStr">
        <is>
          <t>not_invited</t>
        </is>
      </c>
    </row>
    <row r="1586">
      <c r="A1586" t="inlineStr">
        <is>
          <t>CL001585</t>
        </is>
      </c>
      <c r="B1586" t="inlineStr">
        <is>
          <t>not_invited</t>
        </is>
      </c>
    </row>
    <row r="1587">
      <c r="A1587" t="inlineStr">
        <is>
          <t>CL001586</t>
        </is>
      </c>
      <c r="B1587" t="inlineStr">
        <is>
          <t>not_invited</t>
        </is>
      </c>
    </row>
    <row r="1588">
      <c r="A1588" t="inlineStr">
        <is>
          <t>CL001587</t>
        </is>
      </c>
      <c r="B1588" t="inlineStr">
        <is>
          <t>not_invited</t>
        </is>
      </c>
    </row>
    <row r="1589">
      <c r="A1589" t="inlineStr">
        <is>
          <t>CL001588</t>
        </is>
      </c>
      <c r="B1589" t="inlineStr">
        <is>
          <t>not_invited</t>
        </is>
      </c>
    </row>
    <row r="1590">
      <c r="A1590" t="inlineStr">
        <is>
          <t>CL001589</t>
        </is>
      </c>
      <c r="B1590" t="inlineStr">
        <is>
          <t>not_invited</t>
        </is>
      </c>
    </row>
    <row r="1591">
      <c r="A1591" t="inlineStr">
        <is>
          <t>CL001590</t>
        </is>
      </c>
      <c r="B1591" t="inlineStr">
        <is>
          <t>not_invited</t>
        </is>
      </c>
    </row>
    <row r="1592">
      <c r="A1592" t="inlineStr">
        <is>
          <t>CL001591</t>
        </is>
      </c>
      <c r="B1592" t="inlineStr">
        <is>
          <t>not_invited</t>
        </is>
      </c>
    </row>
    <row r="1593">
      <c r="A1593" t="inlineStr">
        <is>
          <t>CL001592</t>
        </is>
      </c>
      <c r="B1593" t="inlineStr">
        <is>
          <t>not_invited</t>
        </is>
      </c>
    </row>
    <row r="1594">
      <c r="A1594" t="inlineStr">
        <is>
          <t>CL001593</t>
        </is>
      </c>
      <c r="B1594" t="inlineStr">
        <is>
          <t>not_invited</t>
        </is>
      </c>
    </row>
    <row r="1595">
      <c r="A1595" t="inlineStr">
        <is>
          <t>CL001594</t>
        </is>
      </c>
      <c r="B1595" t="inlineStr">
        <is>
          <t>not_invited</t>
        </is>
      </c>
    </row>
    <row r="1596">
      <c r="A1596" t="inlineStr">
        <is>
          <t>CL001595</t>
        </is>
      </c>
      <c r="B1596" t="inlineStr">
        <is>
          <t>not_invited</t>
        </is>
      </c>
    </row>
    <row r="1597">
      <c r="A1597" t="inlineStr">
        <is>
          <t>CL001596</t>
        </is>
      </c>
      <c r="B1597" t="inlineStr">
        <is>
          <t>not_invited</t>
        </is>
      </c>
    </row>
    <row r="1598">
      <c r="A1598" t="inlineStr">
        <is>
          <t>CL001597</t>
        </is>
      </c>
      <c r="B1598" t="inlineStr">
        <is>
          <t>not_invited</t>
        </is>
      </c>
    </row>
    <row r="1599">
      <c r="A1599" t="inlineStr">
        <is>
          <t>CL001598</t>
        </is>
      </c>
      <c r="B1599" t="inlineStr">
        <is>
          <t>not_invited</t>
        </is>
      </c>
    </row>
    <row r="1600">
      <c r="A1600" t="inlineStr">
        <is>
          <t>CL001599</t>
        </is>
      </c>
      <c r="B1600" t="inlineStr">
        <is>
          <t>not_invited</t>
        </is>
      </c>
    </row>
    <row r="1601">
      <c r="A1601" t="inlineStr">
        <is>
          <t>CL001600</t>
        </is>
      </c>
      <c r="B1601" t="inlineStr">
        <is>
          <t>not_invited</t>
        </is>
      </c>
    </row>
    <row r="1602">
      <c r="A1602" t="inlineStr">
        <is>
          <t>CL001601</t>
        </is>
      </c>
      <c r="B1602" t="inlineStr">
        <is>
          <t>not_invited</t>
        </is>
      </c>
    </row>
    <row r="1603">
      <c r="A1603" t="inlineStr">
        <is>
          <t>CL001602</t>
        </is>
      </c>
      <c r="B1603" t="inlineStr">
        <is>
          <t>not_invited</t>
        </is>
      </c>
    </row>
    <row r="1604">
      <c r="A1604" t="inlineStr">
        <is>
          <t>CL001603</t>
        </is>
      </c>
      <c r="B1604" t="inlineStr">
        <is>
          <t>responded</t>
        </is>
      </c>
      <c r="C1604" t="n">
        <v>0</v>
      </c>
      <c r="D1604" t="n">
        <v>0</v>
      </c>
      <c r="E1604" t="n">
        <v>35.29038396266813</v>
      </c>
    </row>
    <row r="1605">
      <c r="A1605" t="inlineStr">
        <is>
          <t>CL001604</t>
        </is>
      </c>
      <c r="B1605" t="inlineStr">
        <is>
          <t>not_invited</t>
        </is>
      </c>
    </row>
    <row r="1606">
      <c r="A1606" t="inlineStr">
        <is>
          <t>CL001605</t>
        </is>
      </c>
      <c r="B1606" t="inlineStr">
        <is>
          <t>not_invited</t>
        </is>
      </c>
    </row>
    <row r="1607">
      <c r="A1607" t="inlineStr">
        <is>
          <t>CL001606</t>
        </is>
      </c>
      <c r="B1607" t="inlineStr">
        <is>
          <t>not_invited</t>
        </is>
      </c>
    </row>
    <row r="1608">
      <c r="A1608" t="inlineStr">
        <is>
          <t>CL001607</t>
        </is>
      </c>
      <c r="B1608" t="inlineStr">
        <is>
          <t>not_invited</t>
        </is>
      </c>
    </row>
    <row r="1609">
      <c r="A1609" t="inlineStr">
        <is>
          <t>CL001608</t>
        </is>
      </c>
      <c r="B1609" t="inlineStr">
        <is>
          <t>not_invited</t>
        </is>
      </c>
    </row>
    <row r="1610">
      <c r="A1610" t="inlineStr">
        <is>
          <t>CL001609</t>
        </is>
      </c>
      <c r="B1610" t="inlineStr">
        <is>
          <t>not_invited</t>
        </is>
      </c>
    </row>
    <row r="1611">
      <c r="A1611" t="inlineStr">
        <is>
          <t>CL001610</t>
        </is>
      </c>
      <c r="B1611" t="inlineStr">
        <is>
          <t>not_invited</t>
        </is>
      </c>
    </row>
    <row r="1612">
      <c r="A1612" t="inlineStr">
        <is>
          <t>CL001611</t>
        </is>
      </c>
      <c r="B1612" t="inlineStr">
        <is>
          <t>not_invited</t>
        </is>
      </c>
    </row>
    <row r="1613">
      <c r="A1613" t="inlineStr">
        <is>
          <t>CL001612</t>
        </is>
      </c>
      <c r="B1613" t="inlineStr">
        <is>
          <t>not_invited</t>
        </is>
      </c>
    </row>
    <row r="1614">
      <c r="A1614" t="inlineStr">
        <is>
          <t>CL001613</t>
        </is>
      </c>
      <c r="B1614" t="inlineStr">
        <is>
          <t>not_invited</t>
        </is>
      </c>
    </row>
    <row r="1615">
      <c r="A1615" t="inlineStr">
        <is>
          <t>CL001614</t>
        </is>
      </c>
      <c r="B1615" t="inlineStr">
        <is>
          <t>not_invited</t>
        </is>
      </c>
    </row>
    <row r="1616">
      <c r="A1616" t="inlineStr">
        <is>
          <t>CL001615</t>
        </is>
      </c>
      <c r="B1616" t="inlineStr">
        <is>
          <t>not_invited</t>
        </is>
      </c>
    </row>
    <row r="1617">
      <c r="A1617" t="inlineStr">
        <is>
          <t>CL001616</t>
        </is>
      </c>
      <c r="B1617" t="inlineStr">
        <is>
          <t>not_invited</t>
        </is>
      </c>
    </row>
    <row r="1618">
      <c r="A1618" t="inlineStr">
        <is>
          <t>CL001617</t>
        </is>
      </c>
      <c r="B1618" t="inlineStr">
        <is>
          <t>not_invited</t>
        </is>
      </c>
    </row>
    <row r="1619">
      <c r="A1619" t="inlineStr">
        <is>
          <t>CL001618</t>
        </is>
      </c>
      <c r="B1619" t="inlineStr">
        <is>
          <t>not_invited</t>
        </is>
      </c>
    </row>
    <row r="1620">
      <c r="A1620" t="inlineStr">
        <is>
          <t>CL001619</t>
        </is>
      </c>
      <c r="B1620" t="inlineStr">
        <is>
          <t>not_invited</t>
        </is>
      </c>
    </row>
    <row r="1621">
      <c r="A1621" t="inlineStr">
        <is>
          <t>CL001620</t>
        </is>
      </c>
      <c r="B1621" t="inlineStr">
        <is>
          <t>not_invited</t>
        </is>
      </c>
    </row>
    <row r="1622">
      <c r="A1622" t="inlineStr">
        <is>
          <t>CL001621</t>
        </is>
      </c>
      <c r="B1622" t="inlineStr">
        <is>
          <t>not_invited</t>
        </is>
      </c>
    </row>
    <row r="1623">
      <c r="A1623" t="inlineStr">
        <is>
          <t>CL001622</t>
        </is>
      </c>
      <c r="B1623" t="inlineStr">
        <is>
          <t>not_invited</t>
        </is>
      </c>
    </row>
    <row r="1624">
      <c r="A1624" t="inlineStr">
        <is>
          <t>CL001623</t>
        </is>
      </c>
      <c r="B1624" t="inlineStr">
        <is>
          <t>not_invited</t>
        </is>
      </c>
    </row>
    <row r="1625">
      <c r="A1625" t="inlineStr">
        <is>
          <t>CL001624</t>
        </is>
      </c>
      <c r="B1625" t="inlineStr">
        <is>
          <t>not_invited</t>
        </is>
      </c>
    </row>
    <row r="1626">
      <c r="A1626" t="inlineStr">
        <is>
          <t>CL001625</t>
        </is>
      </c>
      <c r="B1626" t="inlineStr">
        <is>
          <t>not_invited</t>
        </is>
      </c>
    </row>
    <row r="1627">
      <c r="A1627" t="inlineStr">
        <is>
          <t>CL001626</t>
        </is>
      </c>
      <c r="B1627" t="inlineStr">
        <is>
          <t>not_invited</t>
        </is>
      </c>
    </row>
    <row r="1628">
      <c r="A1628" t="inlineStr">
        <is>
          <t>CL001627</t>
        </is>
      </c>
      <c r="B1628" t="inlineStr">
        <is>
          <t>not_invited</t>
        </is>
      </c>
    </row>
    <row r="1629">
      <c r="A1629" t="inlineStr">
        <is>
          <t>CL001628</t>
        </is>
      </c>
      <c r="B1629" t="inlineStr">
        <is>
          <t>not_invited</t>
        </is>
      </c>
    </row>
    <row r="1630">
      <c r="A1630" t="inlineStr">
        <is>
          <t>CL001629</t>
        </is>
      </c>
      <c r="B1630" t="inlineStr">
        <is>
          <t>not_invited</t>
        </is>
      </c>
    </row>
    <row r="1631">
      <c r="A1631" t="inlineStr">
        <is>
          <t>CL001630</t>
        </is>
      </c>
      <c r="B1631" t="inlineStr">
        <is>
          <t>not_invited</t>
        </is>
      </c>
    </row>
    <row r="1632">
      <c r="A1632" t="inlineStr">
        <is>
          <t>CL001631</t>
        </is>
      </c>
      <c r="B1632" t="inlineStr">
        <is>
          <t>not_invited</t>
        </is>
      </c>
    </row>
    <row r="1633">
      <c r="A1633" t="inlineStr">
        <is>
          <t>CL001632</t>
        </is>
      </c>
      <c r="B1633" t="inlineStr">
        <is>
          <t>not_invited</t>
        </is>
      </c>
    </row>
    <row r="1634">
      <c r="A1634" t="inlineStr">
        <is>
          <t>CL001633</t>
        </is>
      </c>
      <c r="B1634" t="inlineStr">
        <is>
          <t>not_invited</t>
        </is>
      </c>
    </row>
    <row r="1635">
      <c r="A1635" t="inlineStr">
        <is>
          <t>CL001634</t>
        </is>
      </c>
      <c r="B1635" t="inlineStr">
        <is>
          <t>not_invited</t>
        </is>
      </c>
    </row>
    <row r="1636">
      <c r="A1636" t="inlineStr">
        <is>
          <t>CL001635</t>
        </is>
      </c>
      <c r="B1636" t="inlineStr">
        <is>
          <t>not_invited</t>
        </is>
      </c>
    </row>
    <row r="1637">
      <c r="A1637" t="inlineStr">
        <is>
          <t>CL001636</t>
        </is>
      </c>
      <c r="B1637" t="inlineStr">
        <is>
          <t>not_invited</t>
        </is>
      </c>
    </row>
    <row r="1638">
      <c r="A1638" t="inlineStr">
        <is>
          <t>CL001637</t>
        </is>
      </c>
      <c r="B1638" t="inlineStr">
        <is>
          <t>not_invited</t>
        </is>
      </c>
    </row>
    <row r="1639">
      <c r="A1639" t="inlineStr">
        <is>
          <t>CL001638</t>
        </is>
      </c>
      <c r="B1639" t="inlineStr">
        <is>
          <t>not_invited</t>
        </is>
      </c>
    </row>
    <row r="1640">
      <c r="A1640" t="inlineStr">
        <is>
          <t>CL001639</t>
        </is>
      </c>
      <c r="B1640" t="inlineStr">
        <is>
          <t>not_invited</t>
        </is>
      </c>
    </row>
    <row r="1641">
      <c r="A1641" t="inlineStr">
        <is>
          <t>CL001640</t>
        </is>
      </c>
      <c r="B1641" t="inlineStr">
        <is>
          <t>not_invited</t>
        </is>
      </c>
    </row>
    <row r="1642">
      <c r="A1642" t="inlineStr">
        <is>
          <t>CL001641</t>
        </is>
      </c>
      <c r="B1642" t="inlineStr">
        <is>
          <t>not_invited</t>
        </is>
      </c>
    </row>
    <row r="1643">
      <c r="A1643" t="inlineStr">
        <is>
          <t>CL001642</t>
        </is>
      </c>
      <c r="B1643" t="inlineStr">
        <is>
          <t>not_invited</t>
        </is>
      </c>
    </row>
    <row r="1644">
      <c r="A1644" t="inlineStr">
        <is>
          <t>CL001643</t>
        </is>
      </c>
      <c r="B1644" t="inlineStr">
        <is>
          <t>not_invited</t>
        </is>
      </c>
    </row>
    <row r="1645">
      <c r="A1645" t="inlineStr">
        <is>
          <t>CL001644</t>
        </is>
      </c>
      <c r="B1645" t="inlineStr">
        <is>
          <t>not_invited</t>
        </is>
      </c>
    </row>
    <row r="1646">
      <c r="A1646" t="inlineStr">
        <is>
          <t>CL001645</t>
        </is>
      </c>
      <c r="B1646" t="inlineStr">
        <is>
          <t>responded</t>
        </is>
      </c>
      <c r="C1646" t="n">
        <v>0</v>
      </c>
      <c r="D1646" t="n">
        <v>0</v>
      </c>
      <c r="E1646" t="n">
        <v>35.29038396266813</v>
      </c>
    </row>
    <row r="1647">
      <c r="A1647" t="inlineStr">
        <is>
          <t>CL001646</t>
        </is>
      </c>
      <c r="B1647" t="inlineStr">
        <is>
          <t>not_invited</t>
        </is>
      </c>
    </row>
    <row r="1648">
      <c r="A1648" t="inlineStr">
        <is>
          <t>CL001647</t>
        </is>
      </c>
      <c r="B1648" t="inlineStr">
        <is>
          <t>not_invited</t>
        </is>
      </c>
    </row>
    <row r="1649">
      <c r="A1649" t="inlineStr">
        <is>
          <t>CL001648</t>
        </is>
      </c>
      <c r="B1649" t="inlineStr">
        <is>
          <t>responded</t>
        </is>
      </c>
      <c r="C1649" t="n">
        <v>0</v>
      </c>
      <c r="D1649" t="n">
        <v>0</v>
      </c>
      <c r="E1649" t="n">
        <v>35.29038396266813</v>
      </c>
    </row>
    <row r="1650">
      <c r="A1650" t="inlineStr">
        <is>
          <t>CL001649</t>
        </is>
      </c>
      <c r="B1650" t="inlineStr">
        <is>
          <t>not_invited</t>
        </is>
      </c>
    </row>
    <row r="1651">
      <c r="A1651" t="inlineStr">
        <is>
          <t>CL001650</t>
        </is>
      </c>
      <c r="B1651" t="inlineStr">
        <is>
          <t>not_invited</t>
        </is>
      </c>
    </row>
    <row r="1652">
      <c r="A1652" t="inlineStr">
        <is>
          <t>CL001651</t>
        </is>
      </c>
      <c r="B1652" t="inlineStr">
        <is>
          <t>not_invited</t>
        </is>
      </c>
    </row>
    <row r="1653">
      <c r="A1653" t="inlineStr">
        <is>
          <t>CL001652</t>
        </is>
      </c>
      <c r="B1653" t="inlineStr">
        <is>
          <t>not_invited</t>
        </is>
      </c>
    </row>
    <row r="1654">
      <c r="A1654" t="inlineStr">
        <is>
          <t>CL001653</t>
        </is>
      </c>
      <c r="B1654" t="inlineStr">
        <is>
          <t>not_invited</t>
        </is>
      </c>
    </row>
    <row r="1655">
      <c r="A1655" t="inlineStr">
        <is>
          <t>CL001654</t>
        </is>
      </c>
      <c r="B1655" t="inlineStr">
        <is>
          <t>not_invited</t>
        </is>
      </c>
    </row>
    <row r="1656">
      <c r="A1656" t="inlineStr">
        <is>
          <t>CL001655</t>
        </is>
      </c>
      <c r="B1656" t="inlineStr">
        <is>
          <t>not_invited</t>
        </is>
      </c>
    </row>
    <row r="1657">
      <c r="A1657" t="inlineStr">
        <is>
          <t>CL001656</t>
        </is>
      </c>
      <c r="B1657" t="inlineStr">
        <is>
          <t>not_invited</t>
        </is>
      </c>
    </row>
    <row r="1658">
      <c r="A1658" t="inlineStr">
        <is>
          <t>CL001657</t>
        </is>
      </c>
      <c r="B1658" t="inlineStr">
        <is>
          <t>not_invited</t>
        </is>
      </c>
    </row>
    <row r="1659">
      <c r="A1659" t="inlineStr">
        <is>
          <t>CL001658</t>
        </is>
      </c>
      <c r="B1659" t="inlineStr">
        <is>
          <t>not_invited</t>
        </is>
      </c>
    </row>
    <row r="1660">
      <c r="A1660" t="inlineStr">
        <is>
          <t>CL001659</t>
        </is>
      </c>
      <c r="B1660" t="inlineStr">
        <is>
          <t>not_invited</t>
        </is>
      </c>
    </row>
    <row r="1661">
      <c r="A1661" t="inlineStr">
        <is>
          <t>CL001660</t>
        </is>
      </c>
      <c r="B1661" t="inlineStr">
        <is>
          <t>not_invited</t>
        </is>
      </c>
    </row>
    <row r="1662">
      <c r="A1662" t="inlineStr">
        <is>
          <t>CL001661</t>
        </is>
      </c>
      <c r="B1662" t="inlineStr">
        <is>
          <t>not_invited</t>
        </is>
      </c>
    </row>
    <row r="1663">
      <c r="A1663" t="inlineStr">
        <is>
          <t>CL001662</t>
        </is>
      </c>
      <c r="B1663" t="inlineStr">
        <is>
          <t>not_invited</t>
        </is>
      </c>
    </row>
    <row r="1664">
      <c r="A1664" t="inlineStr">
        <is>
          <t>CL001663</t>
        </is>
      </c>
      <c r="B1664" t="inlineStr">
        <is>
          <t>not_invited</t>
        </is>
      </c>
    </row>
    <row r="1665">
      <c r="A1665" t="inlineStr">
        <is>
          <t>CL001664</t>
        </is>
      </c>
      <c r="B1665" t="inlineStr">
        <is>
          <t>not_invited</t>
        </is>
      </c>
    </row>
    <row r="1666">
      <c r="A1666" t="inlineStr">
        <is>
          <t>CL001665</t>
        </is>
      </c>
      <c r="B1666" t="inlineStr">
        <is>
          <t>not_invited</t>
        </is>
      </c>
    </row>
    <row r="1667">
      <c r="A1667" t="inlineStr">
        <is>
          <t>CL001666</t>
        </is>
      </c>
      <c r="B1667" t="inlineStr">
        <is>
          <t>not_invited</t>
        </is>
      </c>
    </row>
    <row r="1668">
      <c r="A1668" t="inlineStr">
        <is>
          <t>CL001667</t>
        </is>
      </c>
      <c r="B1668" t="inlineStr">
        <is>
          <t>not_invited</t>
        </is>
      </c>
    </row>
    <row r="1669">
      <c r="A1669" t="inlineStr">
        <is>
          <t>CL001668</t>
        </is>
      </c>
      <c r="B1669" t="inlineStr">
        <is>
          <t>not_invited</t>
        </is>
      </c>
    </row>
    <row r="1670">
      <c r="A1670" t="inlineStr">
        <is>
          <t>CL001669</t>
        </is>
      </c>
      <c r="B1670" t="inlineStr">
        <is>
          <t>not_invited</t>
        </is>
      </c>
    </row>
    <row r="1671">
      <c r="A1671" t="inlineStr">
        <is>
          <t>CL001670</t>
        </is>
      </c>
      <c r="B1671" t="inlineStr">
        <is>
          <t>not_invited</t>
        </is>
      </c>
    </row>
    <row r="1672">
      <c r="A1672" t="inlineStr">
        <is>
          <t>CL001671</t>
        </is>
      </c>
      <c r="B1672" t="inlineStr">
        <is>
          <t>not_invited</t>
        </is>
      </c>
    </row>
    <row r="1673">
      <c r="A1673" t="inlineStr">
        <is>
          <t>CL001672</t>
        </is>
      </c>
      <c r="B1673" t="inlineStr">
        <is>
          <t>not_invited</t>
        </is>
      </c>
    </row>
    <row r="1674">
      <c r="A1674" t="inlineStr">
        <is>
          <t>CL001673</t>
        </is>
      </c>
      <c r="B1674" t="inlineStr">
        <is>
          <t>not_invited</t>
        </is>
      </c>
    </row>
    <row r="1675">
      <c r="A1675" t="inlineStr">
        <is>
          <t>CL001674</t>
        </is>
      </c>
      <c r="B1675" t="inlineStr">
        <is>
          <t>not_invited</t>
        </is>
      </c>
    </row>
    <row r="1676">
      <c r="A1676" t="inlineStr">
        <is>
          <t>CL001675</t>
        </is>
      </c>
      <c r="B1676" t="inlineStr">
        <is>
          <t>not_invited</t>
        </is>
      </c>
    </row>
    <row r="1677">
      <c r="A1677" t="inlineStr">
        <is>
          <t>CL001676</t>
        </is>
      </c>
      <c r="B1677" t="inlineStr">
        <is>
          <t>not_invited</t>
        </is>
      </c>
    </row>
    <row r="1678">
      <c r="A1678" t="inlineStr">
        <is>
          <t>CL001677</t>
        </is>
      </c>
      <c r="B1678" t="inlineStr">
        <is>
          <t>not_invited</t>
        </is>
      </c>
    </row>
    <row r="1679">
      <c r="A1679" t="inlineStr">
        <is>
          <t>CL001678</t>
        </is>
      </c>
      <c r="B1679" t="inlineStr">
        <is>
          <t>not_invited</t>
        </is>
      </c>
    </row>
    <row r="1680">
      <c r="A1680" t="inlineStr">
        <is>
          <t>CL001679</t>
        </is>
      </c>
      <c r="B1680" t="inlineStr">
        <is>
          <t>not_invited</t>
        </is>
      </c>
    </row>
    <row r="1681">
      <c r="A1681" t="inlineStr">
        <is>
          <t>CL001680</t>
        </is>
      </c>
      <c r="B1681" t="inlineStr">
        <is>
          <t>not_invited</t>
        </is>
      </c>
    </row>
    <row r="1682">
      <c r="A1682" t="inlineStr">
        <is>
          <t>CL001681</t>
        </is>
      </c>
      <c r="B1682" t="inlineStr">
        <is>
          <t>not_invited</t>
        </is>
      </c>
    </row>
    <row r="1683">
      <c r="A1683" t="inlineStr">
        <is>
          <t>CL001682</t>
        </is>
      </c>
      <c r="B1683" t="inlineStr">
        <is>
          <t>not_invited</t>
        </is>
      </c>
    </row>
    <row r="1684">
      <c r="A1684" t="inlineStr">
        <is>
          <t>CL001683</t>
        </is>
      </c>
      <c r="B1684" t="inlineStr">
        <is>
          <t>not_invited</t>
        </is>
      </c>
    </row>
    <row r="1685">
      <c r="A1685" t="inlineStr">
        <is>
          <t>CL001684</t>
        </is>
      </c>
      <c r="B1685" t="inlineStr">
        <is>
          <t>not_invited</t>
        </is>
      </c>
    </row>
    <row r="1686">
      <c r="A1686" t="inlineStr">
        <is>
          <t>CL001685</t>
        </is>
      </c>
      <c r="B1686" t="inlineStr">
        <is>
          <t>responded</t>
        </is>
      </c>
      <c r="C1686" t="n">
        <v>0</v>
      </c>
      <c r="D1686" t="n">
        <v>0</v>
      </c>
      <c r="E1686" t="n">
        <v>35.29038396266813</v>
      </c>
    </row>
    <row r="1687">
      <c r="A1687" t="inlineStr">
        <is>
          <t>CL001686</t>
        </is>
      </c>
      <c r="B1687" t="inlineStr">
        <is>
          <t>not_invited</t>
        </is>
      </c>
    </row>
    <row r="1688">
      <c r="A1688" t="inlineStr">
        <is>
          <t>CL001687</t>
        </is>
      </c>
      <c r="B1688" t="inlineStr">
        <is>
          <t>not_invited</t>
        </is>
      </c>
    </row>
    <row r="1689">
      <c r="A1689" t="inlineStr">
        <is>
          <t>CL001688</t>
        </is>
      </c>
      <c r="B1689" t="inlineStr">
        <is>
          <t>not_invited</t>
        </is>
      </c>
    </row>
    <row r="1690">
      <c r="A1690" t="inlineStr">
        <is>
          <t>CL001689</t>
        </is>
      </c>
      <c r="B1690" t="inlineStr">
        <is>
          <t>responded</t>
        </is>
      </c>
      <c r="C1690" t="n">
        <v>0</v>
      </c>
      <c r="D1690" t="n">
        <v>0</v>
      </c>
      <c r="E1690" t="n">
        <v>35.29038396266813</v>
      </c>
    </row>
    <row r="1691">
      <c r="A1691" t="inlineStr">
        <is>
          <t>CL001690</t>
        </is>
      </c>
      <c r="B1691" t="inlineStr">
        <is>
          <t>not_invited</t>
        </is>
      </c>
    </row>
    <row r="1692">
      <c r="A1692" t="inlineStr">
        <is>
          <t>CL001691</t>
        </is>
      </c>
      <c r="B1692" t="inlineStr">
        <is>
          <t>not_invited</t>
        </is>
      </c>
    </row>
    <row r="1693">
      <c r="A1693" t="inlineStr">
        <is>
          <t>CL001692</t>
        </is>
      </c>
      <c r="B1693" t="inlineStr">
        <is>
          <t>not_invited</t>
        </is>
      </c>
    </row>
    <row r="1694">
      <c r="A1694" t="inlineStr">
        <is>
          <t>CL001693</t>
        </is>
      </c>
      <c r="B1694" t="inlineStr">
        <is>
          <t>responded</t>
        </is>
      </c>
      <c r="C1694" t="n">
        <v>1</v>
      </c>
      <c r="D1694" t="n">
        <v>1</v>
      </c>
      <c r="E1694" t="n">
        <v>63.24711745155093</v>
      </c>
    </row>
    <row r="1695">
      <c r="A1695" t="inlineStr">
        <is>
          <t>CL001694</t>
        </is>
      </c>
      <c r="B1695" t="inlineStr">
        <is>
          <t>not_invited</t>
        </is>
      </c>
    </row>
    <row r="1696">
      <c r="A1696" t="inlineStr">
        <is>
          <t>CL001695</t>
        </is>
      </c>
      <c r="B1696" t="inlineStr">
        <is>
          <t>not_invited</t>
        </is>
      </c>
    </row>
    <row r="1697">
      <c r="A1697" t="inlineStr">
        <is>
          <t>CL001696</t>
        </is>
      </c>
      <c r="B1697" t="inlineStr">
        <is>
          <t>not_invited</t>
        </is>
      </c>
    </row>
    <row r="1698">
      <c r="A1698" t="inlineStr">
        <is>
          <t>CL001697</t>
        </is>
      </c>
      <c r="B1698" t="inlineStr">
        <is>
          <t>not_invited</t>
        </is>
      </c>
    </row>
    <row r="1699">
      <c r="A1699" t="inlineStr">
        <is>
          <t>CL001698</t>
        </is>
      </c>
      <c r="B1699" t="inlineStr">
        <is>
          <t>not_invited</t>
        </is>
      </c>
    </row>
    <row r="1700">
      <c r="A1700" t="inlineStr">
        <is>
          <t>CL001699</t>
        </is>
      </c>
      <c r="B1700" t="inlineStr">
        <is>
          <t>not_invited</t>
        </is>
      </c>
    </row>
    <row r="1701">
      <c r="A1701" t="inlineStr">
        <is>
          <t>CL001700</t>
        </is>
      </c>
      <c r="B1701" t="inlineStr">
        <is>
          <t>not_invited</t>
        </is>
      </c>
    </row>
    <row r="1702">
      <c r="A1702" t="inlineStr">
        <is>
          <t>CL001701</t>
        </is>
      </c>
      <c r="B1702" t="inlineStr">
        <is>
          <t>not_invited</t>
        </is>
      </c>
    </row>
    <row r="1703">
      <c r="A1703" t="inlineStr">
        <is>
          <t>CL001702</t>
        </is>
      </c>
      <c r="B1703" t="inlineStr">
        <is>
          <t>not_invited</t>
        </is>
      </c>
    </row>
    <row r="1704">
      <c r="A1704" t="inlineStr">
        <is>
          <t>CL001703</t>
        </is>
      </c>
      <c r="B1704" t="inlineStr">
        <is>
          <t>not_invited</t>
        </is>
      </c>
    </row>
    <row r="1705">
      <c r="A1705" t="inlineStr">
        <is>
          <t>CL001704</t>
        </is>
      </c>
      <c r="B1705" t="inlineStr">
        <is>
          <t>not_invited</t>
        </is>
      </c>
    </row>
    <row r="1706">
      <c r="A1706" t="inlineStr">
        <is>
          <t>CL001705</t>
        </is>
      </c>
      <c r="B1706" t="inlineStr">
        <is>
          <t>responded</t>
        </is>
      </c>
      <c r="C1706" t="n">
        <v>0</v>
      </c>
      <c r="D1706" t="n">
        <v>0</v>
      </c>
      <c r="E1706" t="n">
        <v>35.29038396266813</v>
      </c>
    </row>
    <row r="1707">
      <c r="A1707" t="inlineStr">
        <is>
          <t>CL001706</t>
        </is>
      </c>
      <c r="B1707" t="inlineStr">
        <is>
          <t>not_invited</t>
        </is>
      </c>
    </row>
    <row r="1708">
      <c r="A1708" t="inlineStr">
        <is>
          <t>CL001707</t>
        </is>
      </c>
      <c r="B1708" t="inlineStr">
        <is>
          <t>not_invited</t>
        </is>
      </c>
    </row>
    <row r="1709">
      <c r="A1709" t="inlineStr">
        <is>
          <t>CL001708</t>
        </is>
      </c>
      <c r="B1709" t="inlineStr">
        <is>
          <t>not_invited</t>
        </is>
      </c>
    </row>
    <row r="1710">
      <c r="A1710" t="inlineStr">
        <is>
          <t>CL001709</t>
        </is>
      </c>
      <c r="B1710" t="inlineStr">
        <is>
          <t>not_invited</t>
        </is>
      </c>
    </row>
    <row r="1711">
      <c r="A1711" t="inlineStr">
        <is>
          <t>CL001710</t>
        </is>
      </c>
      <c r="B1711" t="inlineStr">
        <is>
          <t>not_invited</t>
        </is>
      </c>
    </row>
    <row r="1712">
      <c r="A1712" t="inlineStr">
        <is>
          <t>CL001711</t>
        </is>
      </c>
      <c r="B1712" t="inlineStr">
        <is>
          <t>not_invited</t>
        </is>
      </c>
    </row>
    <row r="1713">
      <c r="A1713" t="inlineStr">
        <is>
          <t>CL001712</t>
        </is>
      </c>
      <c r="B1713" t="inlineStr">
        <is>
          <t>not_invited</t>
        </is>
      </c>
    </row>
    <row r="1714">
      <c r="A1714" t="inlineStr">
        <is>
          <t>CL001713</t>
        </is>
      </c>
      <c r="B1714" t="inlineStr">
        <is>
          <t>not_invited</t>
        </is>
      </c>
    </row>
    <row r="1715">
      <c r="A1715" t="inlineStr">
        <is>
          <t>CL001714</t>
        </is>
      </c>
      <c r="B1715" t="inlineStr">
        <is>
          <t>not_invited</t>
        </is>
      </c>
    </row>
    <row r="1716">
      <c r="A1716" t="inlineStr">
        <is>
          <t>CL001715</t>
        </is>
      </c>
      <c r="B1716" t="inlineStr">
        <is>
          <t>not_invited</t>
        </is>
      </c>
    </row>
    <row r="1717">
      <c r="A1717" t="inlineStr">
        <is>
          <t>CL001716</t>
        </is>
      </c>
      <c r="B1717" t="inlineStr">
        <is>
          <t>not_invited</t>
        </is>
      </c>
    </row>
    <row r="1718">
      <c r="A1718" t="inlineStr">
        <is>
          <t>CL001717</t>
        </is>
      </c>
      <c r="B1718" t="inlineStr">
        <is>
          <t>not_invited</t>
        </is>
      </c>
    </row>
    <row r="1719">
      <c r="A1719" t="inlineStr">
        <is>
          <t>CL001718</t>
        </is>
      </c>
      <c r="B1719" t="inlineStr">
        <is>
          <t>not_invited</t>
        </is>
      </c>
    </row>
    <row r="1720">
      <c r="A1720" t="inlineStr">
        <is>
          <t>CL001719</t>
        </is>
      </c>
      <c r="B1720" t="inlineStr">
        <is>
          <t>not_invited</t>
        </is>
      </c>
    </row>
    <row r="1721">
      <c r="A1721" t="inlineStr">
        <is>
          <t>CL001720</t>
        </is>
      </c>
      <c r="B1721" t="inlineStr">
        <is>
          <t>not_invited</t>
        </is>
      </c>
    </row>
    <row r="1722">
      <c r="A1722" t="inlineStr">
        <is>
          <t>CL001721</t>
        </is>
      </c>
      <c r="B1722" t="inlineStr">
        <is>
          <t>not_invited</t>
        </is>
      </c>
    </row>
    <row r="1723">
      <c r="A1723" t="inlineStr">
        <is>
          <t>CL001722</t>
        </is>
      </c>
      <c r="B1723" t="inlineStr">
        <is>
          <t>not_invited</t>
        </is>
      </c>
    </row>
    <row r="1724">
      <c r="A1724" t="inlineStr">
        <is>
          <t>CL001723</t>
        </is>
      </c>
      <c r="B1724" t="inlineStr">
        <is>
          <t>not_invited</t>
        </is>
      </c>
    </row>
    <row r="1725">
      <c r="A1725" t="inlineStr">
        <is>
          <t>CL001724</t>
        </is>
      </c>
      <c r="B1725" t="inlineStr">
        <is>
          <t>not_invited</t>
        </is>
      </c>
    </row>
    <row r="1726">
      <c r="A1726" t="inlineStr">
        <is>
          <t>CL001725</t>
        </is>
      </c>
      <c r="B1726" t="inlineStr">
        <is>
          <t>not_invited</t>
        </is>
      </c>
    </row>
    <row r="1727">
      <c r="A1727" t="inlineStr">
        <is>
          <t>CL001726</t>
        </is>
      </c>
      <c r="B1727" t="inlineStr">
        <is>
          <t>not_invited</t>
        </is>
      </c>
    </row>
    <row r="1728">
      <c r="A1728" t="inlineStr">
        <is>
          <t>CL001727</t>
        </is>
      </c>
      <c r="B1728" t="inlineStr">
        <is>
          <t>not_invited</t>
        </is>
      </c>
    </row>
    <row r="1729">
      <c r="A1729" t="inlineStr">
        <is>
          <t>CL001728</t>
        </is>
      </c>
      <c r="B1729" t="inlineStr">
        <is>
          <t>not_invited</t>
        </is>
      </c>
    </row>
    <row r="1730">
      <c r="A1730" t="inlineStr">
        <is>
          <t>CL001729</t>
        </is>
      </c>
      <c r="B1730" t="inlineStr">
        <is>
          <t>not_invited</t>
        </is>
      </c>
    </row>
    <row r="1731">
      <c r="A1731" t="inlineStr">
        <is>
          <t>CL001730</t>
        </is>
      </c>
      <c r="B1731" t="inlineStr">
        <is>
          <t>not_invited</t>
        </is>
      </c>
    </row>
    <row r="1732">
      <c r="A1732" t="inlineStr">
        <is>
          <t>CL001731</t>
        </is>
      </c>
      <c r="B1732" t="inlineStr">
        <is>
          <t>not_invited</t>
        </is>
      </c>
    </row>
    <row r="1733">
      <c r="A1733" t="inlineStr">
        <is>
          <t>CL001732</t>
        </is>
      </c>
      <c r="B1733" t="inlineStr">
        <is>
          <t>not_invited</t>
        </is>
      </c>
    </row>
    <row r="1734">
      <c r="A1734" t="inlineStr">
        <is>
          <t>CL001733</t>
        </is>
      </c>
      <c r="B1734" t="inlineStr">
        <is>
          <t>not_invited</t>
        </is>
      </c>
    </row>
    <row r="1735">
      <c r="A1735" t="inlineStr">
        <is>
          <t>CL001734</t>
        </is>
      </c>
      <c r="B1735" t="inlineStr">
        <is>
          <t>not_invited</t>
        </is>
      </c>
    </row>
    <row r="1736">
      <c r="A1736" t="inlineStr">
        <is>
          <t>CL001735</t>
        </is>
      </c>
      <c r="B1736" t="inlineStr">
        <is>
          <t>not_invited</t>
        </is>
      </c>
    </row>
    <row r="1737">
      <c r="A1737" t="inlineStr">
        <is>
          <t>CL001736</t>
        </is>
      </c>
      <c r="B1737" t="inlineStr">
        <is>
          <t>responded</t>
        </is>
      </c>
      <c r="C1737" t="n">
        <v>0</v>
      </c>
      <c r="D1737" t="n">
        <v>0</v>
      </c>
      <c r="E1737" t="n">
        <v>35.29038396266813</v>
      </c>
    </row>
    <row r="1738">
      <c r="A1738" t="inlineStr">
        <is>
          <t>CL001737</t>
        </is>
      </c>
      <c r="B1738" t="inlineStr">
        <is>
          <t>not_invited</t>
        </is>
      </c>
    </row>
    <row r="1739">
      <c r="A1739" t="inlineStr">
        <is>
          <t>CL001738</t>
        </is>
      </c>
      <c r="B1739" t="inlineStr">
        <is>
          <t>not_invited</t>
        </is>
      </c>
    </row>
    <row r="1740">
      <c r="A1740" t="inlineStr">
        <is>
          <t>CL001739</t>
        </is>
      </c>
      <c r="B1740" t="inlineStr">
        <is>
          <t>not_invited</t>
        </is>
      </c>
    </row>
    <row r="1741">
      <c r="A1741" t="inlineStr">
        <is>
          <t>CL001740</t>
        </is>
      </c>
      <c r="B1741" t="inlineStr">
        <is>
          <t>not_invited</t>
        </is>
      </c>
    </row>
    <row r="1742">
      <c r="A1742" t="inlineStr">
        <is>
          <t>CL001741</t>
        </is>
      </c>
      <c r="B1742" t="inlineStr">
        <is>
          <t>not_invited</t>
        </is>
      </c>
    </row>
    <row r="1743">
      <c r="A1743" t="inlineStr">
        <is>
          <t>CL001742</t>
        </is>
      </c>
      <c r="B1743" t="inlineStr">
        <is>
          <t>not_invited</t>
        </is>
      </c>
    </row>
    <row r="1744">
      <c r="A1744" t="inlineStr">
        <is>
          <t>CL001743</t>
        </is>
      </c>
      <c r="B1744" t="inlineStr">
        <is>
          <t>responded</t>
        </is>
      </c>
      <c r="C1744" t="n">
        <v>0</v>
      </c>
      <c r="D1744" t="n">
        <v>0</v>
      </c>
      <c r="E1744" t="n">
        <v>35.29038396266813</v>
      </c>
    </row>
    <row r="1745">
      <c r="A1745" t="inlineStr">
        <is>
          <t>CL001744</t>
        </is>
      </c>
      <c r="B1745" t="inlineStr">
        <is>
          <t>not_invited</t>
        </is>
      </c>
    </row>
    <row r="1746">
      <c r="A1746" t="inlineStr">
        <is>
          <t>CL001745</t>
        </is>
      </c>
      <c r="B1746" t="inlineStr">
        <is>
          <t>responded</t>
        </is>
      </c>
      <c r="C1746" t="n">
        <v>0</v>
      </c>
      <c r="D1746" t="n">
        <v>0</v>
      </c>
      <c r="E1746" t="n">
        <v>35.29038396266813</v>
      </c>
    </row>
    <row r="1747">
      <c r="A1747" t="inlineStr">
        <is>
          <t>CL001746</t>
        </is>
      </c>
      <c r="B1747" t="inlineStr">
        <is>
          <t>not_invited</t>
        </is>
      </c>
    </row>
    <row r="1748">
      <c r="A1748" t="inlineStr">
        <is>
          <t>CL001747</t>
        </is>
      </c>
      <c r="B1748" t="inlineStr">
        <is>
          <t>not_invited</t>
        </is>
      </c>
    </row>
    <row r="1749">
      <c r="A1749" t="inlineStr">
        <is>
          <t>CL001748</t>
        </is>
      </c>
      <c r="B1749" t="inlineStr">
        <is>
          <t>not_invited</t>
        </is>
      </c>
    </row>
    <row r="1750">
      <c r="A1750" t="inlineStr">
        <is>
          <t>CL001749</t>
        </is>
      </c>
      <c r="B1750" t="inlineStr">
        <is>
          <t>not_invited</t>
        </is>
      </c>
    </row>
    <row r="1751">
      <c r="A1751" t="inlineStr">
        <is>
          <t>CL001750</t>
        </is>
      </c>
      <c r="B1751" t="inlineStr">
        <is>
          <t>not_invited</t>
        </is>
      </c>
    </row>
    <row r="1752">
      <c r="A1752" t="inlineStr">
        <is>
          <t>CL001751</t>
        </is>
      </c>
      <c r="B1752" t="inlineStr">
        <is>
          <t>not_invited</t>
        </is>
      </c>
    </row>
    <row r="1753">
      <c r="A1753" t="inlineStr">
        <is>
          <t>CL001752</t>
        </is>
      </c>
      <c r="B1753" t="inlineStr">
        <is>
          <t>not_invited</t>
        </is>
      </c>
    </row>
    <row r="1754">
      <c r="A1754" t="inlineStr">
        <is>
          <t>CL001753</t>
        </is>
      </c>
      <c r="B1754" t="inlineStr">
        <is>
          <t>not_invited</t>
        </is>
      </c>
    </row>
    <row r="1755">
      <c r="A1755" t="inlineStr">
        <is>
          <t>CL001754</t>
        </is>
      </c>
      <c r="B1755" t="inlineStr">
        <is>
          <t>not_invited</t>
        </is>
      </c>
    </row>
    <row r="1756">
      <c r="A1756" t="inlineStr">
        <is>
          <t>CL001755</t>
        </is>
      </c>
      <c r="B1756" t="inlineStr">
        <is>
          <t>responded</t>
        </is>
      </c>
      <c r="C1756" t="n">
        <v>0</v>
      </c>
      <c r="D1756" t="n">
        <v>0</v>
      </c>
      <c r="E1756" t="n">
        <v>35.29038396266813</v>
      </c>
    </row>
    <row r="1757">
      <c r="A1757" t="inlineStr">
        <is>
          <t>CL001756</t>
        </is>
      </c>
      <c r="B1757" t="inlineStr">
        <is>
          <t>not_invited</t>
        </is>
      </c>
    </row>
    <row r="1758">
      <c r="A1758" t="inlineStr">
        <is>
          <t>CL001757</t>
        </is>
      </c>
      <c r="B1758" t="inlineStr">
        <is>
          <t>not_invited</t>
        </is>
      </c>
    </row>
    <row r="1759">
      <c r="A1759" t="inlineStr">
        <is>
          <t>CL001758</t>
        </is>
      </c>
      <c r="B1759" t="inlineStr">
        <is>
          <t>not_invited</t>
        </is>
      </c>
    </row>
    <row r="1760">
      <c r="A1760" t="inlineStr">
        <is>
          <t>CL001759</t>
        </is>
      </c>
      <c r="B1760" t="inlineStr">
        <is>
          <t>not_invited</t>
        </is>
      </c>
    </row>
    <row r="1761">
      <c r="A1761" t="inlineStr">
        <is>
          <t>CL001760</t>
        </is>
      </c>
      <c r="B1761" t="inlineStr">
        <is>
          <t>not_invited</t>
        </is>
      </c>
    </row>
    <row r="1762">
      <c r="A1762" t="inlineStr">
        <is>
          <t>CL001761</t>
        </is>
      </c>
      <c r="B1762" t="inlineStr">
        <is>
          <t>not_invited</t>
        </is>
      </c>
    </row>
    <row r="1763">
      <c r="A1763" t="inlineStr">
        <is>
          <t>CL001762</t>
        </is>
      </c>
      <c r="B1763" t="inlineStr">
        <is>
          <t>not_invited</t>
        </is>
      </c>
    </row>
    <row r="1764">
      <c r="A1764" t="inlineStr">
        <is>
          <t>CL001763</t>
        </is>
      </c>
      <c r="B1764" t="inlineStr">
        <is>
          <t>not_invited</t>
        </is>
      </c>
    </row>
    <row r="1765">
      <c r="A1765" t="inlineStr">
        <is>
          <t>CL001764</t>
        </is>
      </c>
      <c r="B1765" t="inlineStr">
        <is>
          <t>not_invited</t>
        </is>
      </c>
    </row>
    <row r="1766">
      <c r="A1766" t="inlineStr">
        <is>
          <t>CL001765</t>
        </is>
      </c>
      <c r="B1766" t="inlineStr">
        <is>
          <t>not_invited</t>
        </is>
      </c>
    </row>
    <row r="1767">
      <c r="A1767" t="inlineStr">
        <is>
          <t>CL001766</t>
        </is>
      </c>
      <c r="B1767" t="inlineStr">
        <is>
          <t>not_invited</t>
        </is>
      </c>
    </row>
    <row r="1768">
      <c r="A1768" t="inlineStr">
        <is>
          <t>CL001767</t>
        </is>
      </c>
      <c r="B1768" t="inlineStr">
        <is>
          <t>not_invited</t>
        </is>
      </c>
    </row>
    <row r="1769">
      <c r="A1769" t="inlineStr">
        <is>
          <t>CL001768</t>
        </is>
      </c>
      <c r="B1769" t="inlineStr">
        <is>
          <t>not_invited</t>
        </is>
      </c>
    </row>
    <row r="1770">
      <c r="A1770" t="inlineStr">
        <is>
          <t>CL001769</t>
        </is>
      </c>
      <c r="B1770" t="inlineStr">
        <is>
          <t>not_invited</t>
        </is>
      </c>
    </row>
    <row r="1771">
      <c r="A1771" t="inlineStr">
        <is>
          <t>CL001770</t>
        </is>
      </c>
      <c r="B1771" t="inlineStr">
        <is>
          <t>not_invited</t>
        </is>
      </c>
    </row>
    <row r="1772">
      <c r="A1772" t="inlineStr">
        <is>
          <t>CL001771</t>
        </is>
      </c>
      <c r="B1772" t="inlineStr">
        <is>
          <t>not_invited</t>
        </is>
      </c>
    </row>
    <row r="1773">
      <c r="A1773" t="inlineStr">
        <is>
          <t>CL001772</t>
        </is>
      </c>
      <c r="B1773" t="inlineStr">
        <is>
          <t>not_invited</t>
        </is>
      </c>
    </row>
    <row r="1774">
      <c r="A1774" t="inlineStr">
        <is>
          <t>CL001773</t>
        </is>
      </c>
      <c r="B1774" t="inlineStr">
        <is>
          <t>not_invited</t>
        </is>
      </c>
    </row>
    <row r="1775">
      <c r="A1775" t="inlineStr">
        <is>
          <t>CL001774</t>
        </is>
      </c>
      <c r="B1775" t="inlineStr">
        <is>
          <t>not_invited</t>
        </is>
      </c>
    </row>
    <row r="1776">
      <c r="A1776" t="inlineStr">
        <is>
          <t>CL001775</t>
        </is>
      </c>
      <c r="B1776" t="inlineStr">
        <is>
          <t>not_invited</t>
        </is>
      </c>
    </row>
    <row r="1777">
      <c r="A1777" t="inlineStr">
        <is>
          <t>CL001776</t>
        </is>
      </c>
      <c r="B1777" t="inlineStr">
        <is>
          <t>not_invited</t>
        </is>
      </c>
    </row>
    <row r="1778">
      <c r="A1778" t="inlineStr">
        <is>
          <t>CL001777</t>
        </is>
      </c>
      <c r="B1778" t="inlineStr">
        <is>
          <t>not_invited</t>
        </is>
      </c>
    </row>
    <row r="1779">
      <c r="A1779" t="inlineStr">
        <is>
          <t>CL001778</t>
        </is>
      </c>
      <c r="B1779" t="inlineStr">
        <is>
          <t>not_invited</t>
        </is>
      </c>
    </row>
    <row r="1780">
      <c r="A1780" t="inlineStr">
        <is>
          <t>CL001779</t>
        </is>
      </c>
      <c r="B1780" t="inlineStr">
        <is>
          <t>not_invited</t>
        </is>
      </c>
    </row>
    <row r="1781">
      <c r="A1781" t="inlineStr">
        <is>
          <t>CL001780</t>
        </is>
      </c>
      <c r="B1781" t="inlineStr">
        <is>
          <t>not_invited</t>
        </is>
      </c>
    </row>
    <row r="1782">
      <c r="A1782" t="inlineStr">
        <is>
          <t>CL001781</t>
        </is>
      </c>
      <c r="B1782" t="inlineStr">
        <is>
          <t>not_invited</t>
        </is>
      </c>
    </row>
    <row r="1783">
      <c r="A1783" t="inlineStr">
        <is>
          <t>CL001782</t>
        </is>
      </c>
      <c r="B1783" t="inlineStr">
        <is>
          <t>not_invited</t>
        </is>
      </c>
    </row>
    <row r="1784">
      <c r="A1784" t="inlineStr">
        <is>
          <t>CL001783</t>
        </is>
      </c>
      <c r="B1784" t="inlineStr">
        <is>
          <t>responded</t>
        </is>
      </c>
      <c r="C1784" t="n">
        <v>0</v>
      </c>
      <c r="D1784" t="n">
        <v>0</v>
      </c>
      <c r="E1784" t="n">
        <v>35.29038396266813</v>
      </c>
    </row>
    <row r="1785">
      <c r="A1785" t="inlineStr">
        <is>
          <t>CL001784</t>
        </is>
      </c>
      <c r="B1785" t="inlineStr">
        <is>
          <t>not_invited</t>
        </is>
      </c>
    </row>
    <row r="1786">
      <c r="A1786" t="inlineStr">
        <is>
          <t>CL001785</t>
        </is>
      </c>
      <c r="B1786" t="inlineStr">
        <is>
          <t>not_invited</t>
        </is>
      </c>
    </row>
    <row r="1787">
      <c r="A1787" t="inlineStr">
        <is>
          <t>CL001786</t>
        </is>
      </c>
      <c r="B1787" t="inlineStr">
        <is>
          <t>not_invited</t>
        </is>
      </c>
    </row>
    <row r="1788">
      <c r="A1788" t="inlineStr">
        <is>
          <t>CL001787</t>
        </is>
      </c>
      <c r="B1788" t="inlineStr">
        <is>
          <t>not_invited</t>
        </is>
      </c>
    </row>
    <row r="1789">
      <c r="A1789" t="inlineStr">
        <is>
          <t>CL001788</t>
        </is>
      </c>
      <c r="B1789" t="inlineStr">
        <is>
          <t>nonresponse</t>
        </is>
      </c>
    </row>
    <row r="1790">
      <c r="A1790" t="inlineStr">
        <is>
          <t>CL001789</t>
        </is>
      </c>
      <c r="B1790" t="inlineStr">
        <is>
          <t>not_invited</t>
        </is>
      </c>
    </row>
    <row r="1791">
      <c r="A1791" t="inlineStr">
        <is>
          <t>CL001790</t>
        </is>
      </c>
      <c r="B1791" t="inlineStr">
        <is>
          <t>not_invited</t>
        </is>
      </c>
    </row>
    <row r="1792">
      <c r="A1792" t="inlineStr">
        <is>
          <t>CL001791</t>
        </is>
      </c>
      <c r="B1792" t="inlineStr">
        <is>
          <t>not_invited</t>
        </is>
      </c>
    </row>
    <row r="1793">
      <c r="A1793" t="inlineStr">
        <is>
          <t>CL001792</t>
        </is>
      </c>
      <c r="B1793" t="inlineStr">
        <is>
          <t>not_invited</t>
        </is>
      </c>
    </row>
    <row r="1794">
      <c r="A1794" t="inlineStr">
        <is>
          <t>CL001793</t>
        </is>
      </c>
      <c r="B1794" t="inlineStr">
        <is>
          <t>not_invited</t>
        </is>
      </c>
    </row>
    <row r="1795">
      <c r="A1795" t="inlineStr">
        <is>
          <t>CL001794</t>
        </is>
      </c>
      <c r="B1795" t="inlineStr">
        <is>
          <t>not_invited</t>
        </is>
      </c>
    </row>
    <row r="1796">
      <c r="A1796" t="inlineStr">
        <is>
          <t>CL001795</t>
        </is>
      </c>
      <c r="B1796" t="inlineStr">
        <is>
          <t>not_invited</t>
        </is>
      </c>
    </row>
    <row r="1797">
      <c r="A1797" t="inlineStr">
        <is>
          <t>CL001796</t>
        </is>
      </c>
      <c r="B1797" t="inlineStr">
        <is>
          <t>not_invited</t>
        </is>
      </c>
    </row>
    <row r="1798">
      <c r="A1798" t="inlineStr">
        <is>
          <t>CL001797</t>
        </is>
      </c>
      <c r="B1798" t="inlineStr">
        <is>
          <t>not_invited</t>
        </is>
      </c>
    </row>
    <row r="1799">
      <c r="A1799" t="inlineStr">
        <is>
          <t>CL001798</t>
        </is>
      </c>
      <c r="B1799" t="inlineStr">
        <is>
          <t>not_invited</t>
        </is>
      </c>
    </row>
    <row r="1800">
      <c r="A1800" t="inlineStr">
        <is>
          <t>CL001799</t>
        </is>
      </c>
      <c r="B1800" t="inlineStr">
        <is>
          <t>responded</t>
        </is>
      </c>
      <c r="C1800" t="n">
        <v>1</v>
      </c>
      <c r="D1800" t="n">
        <v>1</v>
      </c>
      <c r="E1800" t="n">
        <v>63.24711745155093</v>
      </c>
    </row>
    <row r="1801">
      <c r="A1801" t="inlineStr">
        <is>
          <t>CL001800</t>
        </is>
      </c>
      <c r="B1801" t="inlineStr">
        <is>
          <t>not_invited</t>
        </is>
      </c>
    </row>
    <row r="1802">
      <c r="A1802" t="inlineStr">
        <is>
          <t>CL001801</t>
        </is>
      </c>
      <c r="B1802" t="inlineStr">
        <is>
          <t>not_invited</t>
        </is>
      </c>
    </row>
    <row r="1803">
      <c r="A1803" t="inlineStr">
        <is>
          <t>CL001802</t>
        </is>
      </c>
      <c r="B1803" t="inlineStr">
        <is>
          <t>not_invited</t>
        </is>
      </c>
    </row>
    <row r="1804">
      <c r="A1804" t="inlineStr">
        <is>
          <t>CL001803</t>
        </is>
      </c>
      <c r="B1804" t="inlineStr">
        <is>
          <t>not_invited</t>
        </is>
      </c>
    </row>
    <row r="1805">
      <c r="A1805" t="inlineStr">
        <is>
          <t>CL001804</t>
        </is>
      </c>
      <c r="B1805" t="inlineStr">
        <is>
          <t>not_invited</t>
        </is>
      </c>
    </row>
    <row r="1806">
      <c r="A1806" t="inlineStr">
        <is>
          <t>CL001805</t>
        </is>
      </c>
      <c r="B1806" t="inlineStr">
        <is>
          <t>not_invited</t>
        </is>
      </c>
    </row>
    <row r="1807">
      <c r="A1807" t="inlineStr">
        <is>
          <t>CL001806</t>
        </is>
      </c>
      <c r="B1807" t="inlineStr">
        <is>
          <t>not_invited</t>
        </is>
      </c>
    </row>
    <row r="1808">
      <c r="A1808" t="inlineStr">
        <is>
          <t>CL001807</t>
        </is>
      </c>
      <c r="B1808" t="inlineStr">
        <is>
          <t>not_invited</t>
        </is>
      </c>
    </row>
    <row r="1809">
      <c r="A1809" t="inlineStr">
        <is>
          <t>CL001808</t>
        </is>
      </c>
      <c r="B1809" t="inlineStr">
        <is>
          <t>not_invited</t>
        </is>
      </c>
    </row>
    <row r="1810">
      <c r="A1810" t="inlineStr">
        <is>
          <t>CL001809</t>
        </is>
      </c>
      <c r="B1810" t="inlineStr">
        <is>
          <t>not_invited</t>
        </is>
      </c>
    </row>
    <row r="1811">
      <c r="A1811" t="inlineStr">
        <is>
          <t>CL001810</t>
        </is>
      </c>
      <c r="B1811" t="inlineStr">
        <is>
          <t>not_invited</t>
        </is>
      </c>
    </row>
    <row r="1812">
      <c r="A1812" t="inlineStr">
        <is>
          <t>CL001811</t>
        </is>
      </c>
      <c r="B1812" t="inlineStr">
        <is>
          <t>not_invited</t>
        </is>
      </c>
    </row>
    <row r="1813">
      <c r="A1813" t="inlineStr">
        <is>
          <t>CL001812</t>
        </is>
      </c>
      <c r="B1813" t="inlineStr">
        <is>
          <t>not_invited</t>
        </is>
      </c>
    </row>
    <row r="1814">
      <c r="A1814" t="inlineStr">
        <is>
          <t>CL001813</t>
        </is>
      </c>
      <c r="B1814" t="inlineStr">
        <is>
          <t>not_invited</t>
        </is>
      </c>
    </row>
    <row r="1815">
      <c r="A1815" t="inlineStr">
        <is>
          <t>CL001814</t>
        </is>
      </c>
      <c r="B1815" t="inlineStr">
        <is>
          <t>not_invited</t>
        </is>
      </c>
    </row>
    <row r="1816">
      <c r="A1816" t="inlineStr">
        <is>
          <t>CL001815</t>
        </is>
      </c>
      <c r="B1816" t="inlineStr">
        <is>
          <t>nonresponse</t>
        </is>
      </c>
    </row>
    <row r="1817">
      <c r="A1817" t="inlineStr">
        <is>
          <t>CL001816</t>
        </is>
      </c>
      <c r="B1817" t="inlineStr">
        <is>
          <t>not_invited</t>
        </is>
      </c>
    </row>
    <row r="1818">
      <c r="A1818" t="inlineStr">
        <is>
          <t>CL001817</t>
        </is>
      </c>
      <c r="B1818" t="inlineStr">
        <is>
          <t>not_invited</t>
        </is>
      </c>
    </row>
    <row r="1819">
      <c r="A1819" t="inlineStr">
        <is>
          <t>CL001818</t>
        </is>
      </c>
      <c r="B1819" t="inlineStr">
        <is>
          <t>not_invited</t>
        </is>
      </c>
    </row>
    <row r="1820">
      <c r="A1820" t="inlineStr">
        <is>
          <t>CL001819</t>
        </is>
      </c>
      <c r="B1820" t="inlineStr">
        <is>
          <t>not_invited</t>
        </is>
      </c>
    </row>
    <row r="1821">
      <c r="A1821" t="inlineStr">
        <is>
          <t>CL001820</t>
        </is>
      </c>
      <c r="B1821" t="inlineStr">
        <is>
          <t>not_invited</t>
        </is>
      </c>
    </row>
    <row r="1822">
      <c r="A1822" t="inlineStr">
        <is>
          <t>CL001821</t>
        </is>
      </c>
      <c r="B1822" t="inlineStr">
        <is>
          <t>not_invited</t>
        </is>
      </c>
    </row>
    <row r="1823">
      <c r="A1823" t="inlineStr">
        <is>
          <t>CL001822</t>
        </is>
      </c>
      <c r="B1823" t="inlineStr">
        <is>
          <t>not_invited</t>
        </is>
      </c>
    </row>
    <row r="1824">
      <c r="A1824" t="inlineStr">
        <is>
          <t>CL001823</t>
        </is>
      </c>
      <c r="B1824" t="inlineStr">
        <is>
          <t>not_invited</t>
        </is>
      </c>
    </row>
    <row r="1825">
      <c r="A1825" t="inlineStr">
        <is>
          <t>CL001824</t>
        </is>
      </c>
      <c r="B1825" t="inlineStr">
        <is>
          <t>not_invited</t>
        </is>
      </c>
    </row>
    <row r="1826">
      <c r="A1826" t="inlineStr">
        <is>
          <t>CL001825</t>
        </is>
      </c>
      <c r="B1826" t="inlineStr">
        <is>
          <t>not_invited</t>
        </is>
      </c>
    </row>
    <row r="1827">
      <c r="A1827" t="inlineStr">
        <is>
          <t>CL001826</t>
        </is>
      </c>
      <c r="B1827" t="inlineStr">
        <is>
          <t>not_invited</t>
        </is>
      </c>
    </row>
    <row r="1828">
      <c r="A1828" t="inlineStr">
        <is>
          <t>CL001827</t>
        </is>
      </c>
      <c r="B1828" t="inlineStr">
        <is>
          <t>not_invited</t>
        </is>
      </c>
    </row>
    <row r="1829">
      <c r="A1829" t="inlineStr">
        <is>
          <t>CL001828</t>
        </is>
      </c>
      <c r="B1829" t="inlineStr">
        <is>
          <t>not_invited</t>
        </is>
      </c>
    </row>
    <row r="1830">
      <c r="A1830" t="inlineStr">
        <is>
          <t>CL001829</t>
        </is>
      </c>
      <c r="B1830" t="inlineStr">
        <is>
          <t>not_invited</t>
        </is>
      </c>
    </row>
    <row r="1831">
      <c r="A1831" t="inlineStr">
        <is>
          <t>CL001830</t>
        </is>
      </c>
      <c r="B1831" t="inlineStr">
        <is>
          <t>not_invited</t>
        </is>
      </c>
    </row>
    <row r="1832">
      <c r="A1832" t="inlineStr">
        <is>
          <t>CL001831</t>
        </is>
      </c>
      <c r="B1832" t="inlineStr">
        <is>
          <t>not_invited</t>
        </is>
      </c>
    </row>
    <row r="1833">
      <c r="A1833" t="inlineStr">
        <is>
          <t>CL001832</t>
        </is>
      </c>
      <c r="B1833" t="inlineStr">
        <is>
          <t>not_invited</t>
        </is>
      </c>
    </row>
    <row r="1834">
      <c r="A1834" t="inlineStr">
        <is>
          <t>CL001833</t>
        </is>
      </c>
      <c r="B1834" t="inlineStr">
        <is>
          <t>not_invited</t>
        </is>
      </c>
    </row>
    <row r="1835">
      <c r="A1835" t="inlineStr">
        <is>
          <t>CL001834</t>
        </is>
      </c>
      <c r="B1835" t="inlineStr">
        <is>
          <t>not_invited</t>
        </is>
      </c>
    </row>
    <row r="1836">
      <c r="A1836" t="inlineStr">
        <is>
          <t>CL001835</t>
        </is>
      </c>
      <c r="B1836" t="inlineStr">
        <is>
          <t>not_invited</t>
        </is>
      </c>
    </row>
    <row r="1837">
      <c r="A1837" t="inlineStr">
        <is>
          <t>CL001836</t>
        </is>
      </c>
      <c r="B1837" t="inlineStr">
        <is>
          <t>not_invited</t>
        </is>
      </c>
    </row>
    <row r="1838">
      <c r="A1838" t="inlineStr">
        <is>
          <t>CL001837</t>
        </is>
      </c>
      <c r="B1838" t="inlineStr">
        <is>
          <t>not_invited</t>
        </is>
      </c>
    </row>
    <row r="1839">
      <c r="A1839" t="inlineStr">
        <is>
          <t>CL001838</t>
        </is>
      </c>
      <c r="B1839" t="inlineStr">
        <is>
          <t>not_invited</t>
        </is>
      </c>
    </row>
    <row r="1840">
      <c r="A1840" t="inlineStr">
        <is>
          <t>CL001839</t>
        </is>
      </c>
      <c r="B1840" t="inlineStr">
        <is>
          <t>not_invited</t>
        </is>
      </c>
    </row>
    <row r="1841">
      <c r="A1841" t="inlineStr">
        <is>
          <t>CL001840</t>
        </is>
      </c>
      <c r="B1841" t="inlineStr">
        <is>
          <t>not_invited</t>
        </is>
      </c>
    </row>
    <row r="1842">
      <c r="A1842" t="inlineStr">
        <is>
          <t>CL001841</t>
        </is>
      </c>
      <c r="B1842" t="inlineStr">
        <is>
          <t>not_invited</t>
        </is>
      </c>
    </row>
    <row r="1843">
      <c r="A1843" t="inlineStr">
        <is>
          <t>CL001842</t>
        </is>
      </c>
      <c r="B1843" t="inlineStr">
        <is>
          <t>not_invited</t>
        </is>
      </c>
    </row>
    <row r="1844">
      <c r="A1844" t="inlineStr">
        <is>
          <t>CL001843</t>
        </is>
      </c>
      <c r="B1844" t="inlineStr">
        <is>
          <t>not_invited</t>
        </is>
      </c>
    </row>
    <row r="1845">
      <c r="A1845" t="inlineStr">
        <is>
          <t>CL001844</t>
        </is>
      </c>
      <c r="B1845" t="inlineStr">
        <is>
          <t>not_invited</t>
        </is>
      </c>
    </row>
    <row r="1846">
      <c r="A1846" t="inlineStr">
        <is>
          <t>CL001845</t>
        </is>
      </c>
      <c r="B1846" t="inlineStr">
        <is>
          <t>not_invited</t>
        </is>
      </c>
    </row>
    <row r="1847">
      <c r="A1847" t="inlineStr">
        <is>
          <t>CL001846</t>
        </is>
      </c>
      <c r="B1847" t="inlineStr">
        <is>
          <t>not_invited</t>
        </is>
      </c>
    </row>
    <row r="1848">
      <c r="A1848" t="inlineStr">
        <is>
          <t>CL001847</t>
        </is>
      </c>
      <c r="B1848" t="inlineStr">
        <is>
          <t>not_invited</t>
        </is>
      </c>
    </row>
    <row r="1849">
      <c r="A1849" t="inlineStr">
        <is>
          <t>CL001848</t>
        </is>
      </c>
      <c r="B1849" t="inlineStr">
        <is>
          <t>not_invited</t>
        </is>
      </c>
    </row>
    <row r="1850">
      <c r="A1850" t="inlineStr">
        <is>
          <t>CL001849</t>
        </is>
      </c>
      <c r="B1850" t="inlineStr">
        <is>
          <t>not_invited</t>
        </is>
      </c>
    </row>
    <row r="1851">
      <c r="A1851" t="inlineStr">
        <is>
          <t>CL001850</t>
        </is>
      </c>
      <c r="B1851" t="inlineStr">
        <is>
          <t>not_invited</t>
        </is>
      </c>
    </row>
    <row r="1852">
      <c r="A1852" t="inlineStr">
        <is>
          <t>CL001851</t>
        </is>
      </c>
      <c r="B1852" t="inlineStr">
        <is>
          <t>not_invited</t>
        </is>
      </c>
    </row>
    <row r="1853">
      <c r="A1853" t="inlineStr">
        <is>
          <t>CL001852</t>
        </is>
      </c>
      <c r="B1853" t="inlineStr">
        <is>
          <t>not_invited</t>
        </is>
      </c>
    </row>
    <row r="1854">
      <c r="A1854" t="inlineStr">
        <is>
          <t>CL001853</t>
        </is>
      </c>
      <c r="B1854" t="inlineStr">
        <is>
          <t>not_invited</t>
        </is>
      </c>
    </row>
    <row r="1855">
      <c r="A1855" t="inlineStr">
        <is>
          <t>CL001854</t>
        </is>
      </c>
      <c r="B1855" t="inlineStr">
        <is>
          <t>not_invited</t>
        </is>
      </c>
    </row>
    <row r="1856">
      <c r="A1856" t="inlineStr">
        <is>
          <t>CL001855</t>
        </is>
      </c>
      <c r="B1856" t="inlineStr">
        <is>
          <t>not_invited</t>
        </is>
      </c>
    </row>
    <row r="1857">
      <c r="A1857" t="inlineStr">
        <is>
          <t>CL001856</t>
        </is>
      </c>
      <c r="B1857" t="inlineStr">
        <is>
          <t>not_invited</t>
        </is>
      </c>
    </row>
    <row r="1858">
      <c r="A1858" t="inlineStr">
        <is>
          <t>CL001857</t>
        </is>
      </c>
      <c r="B1858" t="inlineStr">
        <is>
          <t>not_invited</t>
        </is>
      </c>
    </row>
    <row r="1859">
      <c r="A1859" t="inlineStr">
        <is>
          <t>CL001858</t>
        </is>
      </c>
      <c r="B1859" t="inlineStr">
        <is>
          <t>not_invited</t>
        </is>
      </c>
    </row>
    <row r="1860">
      <c r="A1860" t="inlineStr">
        <is>
          <t>CL001859</t>
        </is>
      </c>
      <c r="B1860" t="inlineStr">
        <is>
          <t>not_invited</t>
        </is>
      </c>
    </row>
    <row r="1861">
      <c r="A1861" t="inlineStr">
        <is>
          <t>CL001860</t>
        </is>
      </c>
      <c r="B1861" t="inlineStr">
        <is>
          <t>not_invited</t>
        </is>
      </c>
    </row>
    <row r="1862">
      <c r="A1862" t="inlineStr">
        <is>
          <t>CL001861</t>
        </is>
      </c>
      <c r="B1862" t="inlineStr">
        <is>
          <t>not_invited</t>
        </is>
      </c>
    </row>
    <row r="1863">
      <c r="A1863" t="inlineStr">
        <is>
          <t>CL001862</t>
        </is>
      </c>
      <c r="B1863" t="inlineStr">
        <is>
          <t>not_invited</t>
        </is>
      </c>
    </row>
    <row r="1864">
      <c r="A1864" t="inlineStr">
        <is>
          <t>CL001863</t>
        </is>
      </c>
      <c r="B1864" t="inlineStr">
        <is>
          <t>not_invited</t>
        </is>
      </c>
    </row>
    <row r="1865">
      <c r="A1865" t="inlineStr">
        <is>
          <t>CL001864</t>
        </is>
      </c>
      <c r="B1865" t="inlineStr">
        <is>
          <t>not_invited</t>
        </is>
      </c>
    </row>
    <row r="1866">
      <c r="A1866" t="inlineStr">
        <is>
          <t>CL001865</t>
        </is>
      </c>
      <c r="B1866" t="inlineStr">
        <is>
          <t>not_invited</t>
        </is>
      </c>
    </row>
    <row r="1867">
      <c r="A1867" t="inlineStr">
        <is>
          <t>CL001866</t>
        </is>
      </c>
      <c r="B1867" t="inlineStr">
        <is>
          <t>not_invited</t>
        </is>
      </c>
    </row>
    <row r="1868">
      <c r="A1868" t="inlineStr">
        <is>
          <t>CL001867</t>
        </is>
      </c>
      <c r="B1868" t="inlineStr">
        <is>
          <t>not_invited</t>
        </is>
      </c>
    </row>
    <row r="1869">
      <c r="A1869" t="inlineStr">
        <is>
          <t>CL001868</t>
        </is>
      </c>
      <c r="B1869" t="inlineStr">
        <is>
          <t>not_invited</t>
        </is>
      </c>
    </row>
    <row r="1870">
      <c r="A1870" t="inlineStr">
        <is>
          <t>CL001869</t>
        </is>
      </c>
      <c r="B1870" t="inlineStr">
        <is>
          <t>not_invited</t>
        </is>
      </c>
    </row>
    <row r="1871">
      <c r="A1871" t="inlineStr">
        <is>
          <t>CL001870</t>
        </is>
      </c>
      <c r="B1871" t="inlineStr">
        <is>
          <t>not_invited</t>
        </is>
      </c>
    </row>
    <row r="1872">
      <c r="A1872" t="inlineStr">
        <is>
          <t>CL001871</t>
        </is>
      </c>
      <c r="B1872" t="inlineStr">
        <is>
          <t>not_invited</t>
        </is>
      </c>
    </row>
    <row r="1873">
      <c r="A1873" t="inlineStr">
        <is>
          <t>CL001872</t>
        </is>
      </c>
      <c r="B1873" t="inlineStr">
        <is>
          <t>not_invited</t>
        </is>
      </c>
    </row>
    <row r="1874">
      <c r="A1874" t="inlineStr">
        <is>
          <t>CL001873</t>
        </is>
      </c>
      <c r="B1874" t="inlineStr">
        <is>
          <t>not_invited</t>
        </is>
      </c>
    </row>
    <row r="1875">
      <c r="A1875" t="inlineStr">
        <is>
          <t>CL001874</t>
        </is>
      </c>
      <c r="B1875" t="inlineStr">
        <is>
          <t>not_invited</t>
        </is>
      </c>
    </row>
    <row r="1876">
      <c r="A1876" t="inlineStr">
        <is>
          <t>CL001875</t>
        </is>
      </c>
      <c r="B1876" t="inlineStr">
        <is>
          <t>not_invited</t>
        </is>
      </c>
    </row>
    <row r="1877">
      <c r="A1877" t="inlineStr">
        <is>
          <t>CL001876</t>
        </is>
      </c>
      <c r="B1877" t="inlineStr">
        <is>
          <t>not_invited</t>
        </is>
      </c>
    </row>
    <row r="1878">
      <c r="A1878" t="inlineStr">
        <is>
          <t>CL001877</t>
        </is>
      </c>
      <c r="B1878" t="inlineStr">
        <is>
          <t>not_invited</t>
        </is>
      </c>
    </row>
    <row r="1879">
      <c r="A1879" t="inlineStr">
        <is>
          <t>CL001878</t>
        </is>
      </c>
      <c r="B1879" t="inlineStr">
        <is>
          <t>not_invited</t>
        </is>
      </c>
    </row>
    <row r="1880">
      <c r="A1880" t="inlineStr">
        <is>
          <t>CL001879</t>
        </is>
      </c>
      <c r="B1880" t="inlineStr">
        <is>
          <t>not_invited</t>
        </is>
      </c>
    </row>
    <row r="1881">
      <c r="A1881" t="inlineStr">
        <is>
          <t>CL001880</t>
        </is>
      </c>
      <c r="B1881" t="inlineStr">
        <is>
          <t>not_invited</t>
        </is>
      </c>
    </row>
    <row r="1882">
      <c r="A1882" t="inlineStr">
        <is>
          <t>CL001881</t>
        </is>
      </c>
      <c r="B1882" t="inlineStr">
        <is>
          <t>not_invited</t>
        </is>
      </c>
    </row>
    <row r="1883">
      <c r="A1883" t="inlineStr">
        <is>
          <t>CL001882</t>
        </is>
      </c>
      <c r="B1883" t="inlineStr">
        <is>
          <t>not_invited</t>
        </is>
      </c>
    </row>
    <row r="1884">
      <c r="A1884" t="inlineStr">
        <is>
          <t>CL001883</t>
        </is>
      </c>
      <c r="B1884" t="inlineStr">
        <is>
          <t>not_invited</t>
        </is>
      </c>
    </row>
    <row r="1885">
      <c r="A1885" t="inlineStr">
        <is>
          <t>CL001884</t>
        </is>
      </c>
      <c r="B1885" t="inlineStr">
        <is>
          <t>not_invited</t>
        </is>
      </c>
    </row>
    <row r="1886">
      <c r="A1886" t="inlineStr">
        <is>
          <t>CL001885</t>
        </is>
      </c>
      <c r="B1886" t="inlineStr">
        <is>
          <t>not_invited</t>
        </is>
      </c>
    </row>
    <row r="1887">
      <c r="A1887" t="inlineStr">
        <is>
          <t>CL001886</t>
        </is>
      </c>
      <c r="B1887" t="inlineStr">
        <is>
          <t>not_invited</t>
        </is>
      </c>
    </row>
    <row r="1888">
      <c r="A1888" t="inlineStr">
        <is>
          <t>CL001887</t>
        </is>
      </c>
      <c r="B1888" t="inlineStr">
        <is>
          <t>not_invited</t>
        </is>
      </c>
    </row>
    <row r="1889">
      <c r="A1889" t="inlineStr">
        <is>
          <t>CL001888</t>
        </is>
      </c>
      <c r="B1889" t="inlineStr">
        <is>
          <t>not_invited</t>
        </is>
      </c>
    </row>
    <row r="1890">
      <c r="A1890" t="inlineStr">
        <is>
          <t>CL001889</t>
        </is>
      </c>
      <c r="B1890" t="inlineStr">
        <is>
          <t>not_invited</t>
        </is>
      </c>
    </row>
    <row r="1891">
      <c r="A1891" t="inlineStr">
        <is>
          <t>CL001890</t>
        </is>
      </c>
      <c r="B1891" t="inlineStr">
        <is>
          <t>not_invited</t>
        </is>
      </c>
    </row>
    <row r="1892">
      <c r="A1892" t="inlineStr">
        <is>
          <t>CL001891</t>
        </is>
      </c>
      <c r="B1892" t="inlineStr">
        <is>
          <t>not_invited</t>
        </is>
      </c>
    </row>
    <row r="1893">
      <c r="A1893" t="inlineStr">
        <is>
          <t>CL001892</t>
        </is>
      </c>
      <c r="B1893" t="inlineStr">
        <is>
          <t>not_invited</t>
        </is>
      </c>
    </row>
    <row r="1894">
      <c r="A1894" t="inlineStr">
        <is>
          <t>CL001893</t>
        </is>
      </c>
      <c r="B1894" t="inlineStr">
        <is>
          <t>not_invited</t>
        </is>
      </c>
    </row>
    <row r="1895">
      <c r="A1895" t="inlineStr">
        <is>
          <t>CL001894</t>
        </is>
      </c>
      <c r="B1895" t="inlineStr">
        <is>
          <t>not_invited</t>
        </is>
      </c>
    </row>
    <row r="1896">
      <c r="A1896" t="inlineStr">
        <is>
          <t>CL001895</t>
        </is>
      </c>
      <c r="B1896" t="inlineStr">
        <is>
          <t>not_invited</t>
        </is>
      </c>
    </row>
    <row r="1897">
      <c r="A1897" t="inlineStr">
        <is>
          <t>CL001896</t>
        </is>
      </c>
      <c r="B1897" t="inlineStr">
        <is>
          <t>not_invited</t>
        </is>
      </c>
    </row>
    <row r="1898">
      <c r="A1898" t="inlineStr">
        <is>
          <t>CL001897</t>
        </is>
      </c>
      <c r="B1898" t="inlineStr">
        <is>
          <t>not_invited</t>
        </is>
      </c>
    </row>
    <row r="1899">
      <c r="A1899" t="inlineStr">
        <is>
          <t>CL001898</t>
        </is>
      </c>
      <c r="B1899" t="inlineStr">
        <is>
          <t>not_invited</t>
        </is>
      </c>
    </row>
    <row r="1900">
      <c r="A1900" t="inlineStr">
        <is>
          <t>CL001899</t>
        </is>
      </c>
      <c r="B1900" t="inlineStr">
        <is>
          <t>not_invited</t>
        </is>
      </c>
    </row>
    <row r="1901">
      <c r="A1901" t="inlineStr">
        <is>
          <t>CL001900</t>
        </is>
      </c>
      <c r="B1901" t="inlineStr">
        <is>
          <t>not_invited</t>
        </is>
      </c>
    </row>
    <row r="1902">
      <c r="A1902" t="inlineStr">
        <is>
          <t>CL001901</t>
        </is>
      </c>
      <c r="B1902" t="inlineStr">
        <is>
          <t>not_invited</t>
        </is>
      </c>
    </row>
    <row r="1903">
      <c r="A1903" t="inlineStr">
        <is>
          <t>CL001902</t>
        </is>
      </c>
      <c r="B1903" t="inlineStr">
        <is>
          <t>not_invited</t>
        </is>
      </c>
    </row>
    <row r="1904">
      <c r="A1904" t="inlineStr">
        <is>
          <t>CL001903</t>
        </is>
      </c>
      <c r="B1904" t="inlineStr">
        <is>
          <t>not_invited</t>
        </is>
      </c>
    </row>
    <row r="1905">
      <c r="A1905" t="inlineStr">
        <is>
          <t>CL001904</t>
        </is>
      </c>
      <c r="B1905" t="inlineStr">
        <is>
          <t>not_invited</t>
        </is>
      </c>
    </row>
    <row r="1906">
      <c r="A1906" t="inlineStr">
        <is>
          <t>CL001905</t>
        </is>
      </c>
      <c r="B1906" t="inlineStr">
        <is>
          <t>not_invited</t>
        </is>
      </c>
    </row>
    <row r="1907">
      <c r="A1907" t="inlineStr">
        <is>
          <t>CL001906</t>
        </is>
      </c>
      <c r="B1907" t="inlineStr">
        <is>
          <t>not_invited</t>
        </is>
      </c>
    </row>
    <row r="1908">
      <c r="A1908" t="inlineStr">
        <is>
          <t>CL001907</t>
        </is>
      </c>
      <c r="B1908" t="inlineStr">
        <is>
          <t>not_invited</t>
        </is>
      </c>
    </row>
    <row r="1909">
      <c r="A1909" t="inlineStr">
        <is>
          <t>CL001908</t>
        </is>
      </c>
      <c r="B1909" t="inlineStr">
        <is>
          <t>not_invited</t>
        </is>
      </c>
    </row>
    <row r="1910">
      <c r="A1910" t="inlineStr">
        <is>
          <t>CL001909</t>
        </is>
      </c>
      <c r="B1910" t="inlineStr">
        <is>
          <t>not_invited</t>
        </is>
      </c>
    </row>
    <row r="1911">
      <c r="A1911" t="inlineStr">
        <is>
          <t>CL001910</t>
        </is>
      </c>
      <c r="B1911" t="inlineStr">
        <is>
          <t>not_invited</t>
        </is>
      </c>
    </row>
    <row r="1912">
      <c r="A1912" t="inlineStr">
        <is>
          <t>CL001911</t>
        </is>
      </c>
      <c r="B1912" t="inlineStr">
        <is>
          <t>not_invited</t>
        </is>
      </c>
    </row>
    <row r="1913">
      <c r="A1913" t="inlineStr">
        <is>
          <t>CL001912</t>
        </is>
      </c>
      <c r="B1913" t="inlineStr">
        <is>
          <t>not_invited</t>
        </is>
      </c>
    </row>
    <row r="1914">
      <c r="A1914" t="inlineStr">
        <is>
          <t>CL001913</t>
        </is>
      </c>
      <c r="B1914" t="inlineStr">
        <is>
          <t>not_invited</t>
        </is>
      </c>
    </row>
    <row r="1915">
      <c r="A1915" t="inlineStr">
        <is>
          <t>CL001914</t>
        </is>
      </c>
      <c r="B1915" t="inlineStr">
        <is>
          <t>not_invited</t>
        </is>
      </c>
    </row>
    <row r="1916">
      <c r="A1916" t="inlineStr">
        <is>
          <t>CL001915</t>
        </is>
      </c>
      <c r="B1916" t="inlineStr">
        <is>
          <t>not_invited</t>
        </is>
      </c>
    </row>
    <row r="1917">
      <c r="A1917" t="inlineStr">
        <is>
          <t>CL001916</t>
        </is>
      </c>
      <c r="B1917" t="inlineStr">
        <is>
          <t>not_invited</t>
        </is>
      </c>
    </row>
    <row r="1918">
      <c r="A1918" t="inlineStr">
        <is>
          <t>CL001917</t>
        </is>
      </c>
      <c r="B1918" t="inlineStr">
        <is>
          <t>not_invited</t>
        </is>
      </c>
    </row>
    <row r="1919">
      <c r="A1919" t="inlineStr">
        <is>
          <t>CL001918</t>
        </is>
      </c>
      <c r="B1919" t="inlineStr">
        <is>
          <t>not_invited</t>
        </is>
      </c>
    </row>
    <row r="1920">
      <c r="A1920" t="inlineStr">
        <is>
          <t>CL001919</t>
        </is>
      </c>
      <c r="B1920" t="inlineStr">
        <is>
          <t>not_invited</t>
        </is>
      </c>
    </row>
    <row r="1921">
      <c r="A1921" t="inlineStr">
        <is>
          <t>CL001920</t>
        </is>
      </c>
      <c r="B1921" t="inlineStr">
        <is>
          <t>not_invited</t>
        </is>
      </c>
    </row>
    <row r="1922">
      <c r="A1922" t="inlineStr">
        <is>
          <t>CL001921</t>
        </is>
      </c>
      <c r="B1922" t="inlineStr">
        <is>
          <t>not_invited</t>
        </is>
      </c>
    </row>
    <row r="1923">
      <c r="A1923" t="inlineStr">
        <is>
          <t>CL001922</t>
        </is>
      </c>
      <c r="B1923" t="inlineStr">
        <is>
          <t>not_invited</t>
        </is>
      </c>
    </row>
    <row r="1924">
      <c r="A1924" t="inlineStr">
        <is>
          <t>CL001923</t>
        </is>
      </c>
      <c r="B1924" t="inlineStr">
        <is>
          <t>not_invited</t>
        </is>
      </c>
    </row>
    <row r="1925">
      <c r="A1925" t="inlineStr">
        <is>
          <t>CL001924</t>
        </is>
      </c>
      <c r="B1925" t="inlineStr">
        <is>
          <t>responded</t>
        </is>
      </c>
      <c r="C1925" t="n">
        <v>0</v>
      </c>
      <c r="D1925" t="n">
        <v>0</v>
      </c>
      <c r="E1925" t="n">
        <v>35.29038396266813</v>
      </c>
    </row>
    <row r="1926">
      <c r="A1926" t="inlineStr">
        <is>
          <t>CL001925</t>
        </is>
      </c>
      <c r="B1926" t="inlineStr">
        <is>
          <t>not_invited</t>
        </is>
      </c>
    </row>
    <row r="1927">
      <c r="A1927" t="inlineStr">
        <is>
          <t>CL001926</t>
        </is>
      </c>
      <c r="B1927" t="inlineStr">
        <is>
          <t>responded</t>
        </is>
      </c>
      <c r="C1927" t="n">
        <v>1</v>
      </c>
      <c r="D1927" t="n">
        <v>1</v>
      </c>
      <c r="E1927" t="n">
        <v>63.24711745155093</v>
      </c>
    </row>
    <row r="1928">
      <c r="A1928" t="inlineStr">
        <is>
          <t>CL001927</t>
        </is>
      </c>
      <c r="B1928" t="inlineStr">
        <is>
          <t>not_invited</t>
        </is>
      </c>
    </row>
    <row r="1929">
      <c r="A1929" t="inlineStr">
        <is>
          <t>CL001928</t>
        </is>
      </c>
      <c r="B1929" t="inlineStr">
        <is>
          <t>not_invited</t>
        </is>
      </c>
    </row>
    <row r="1930">
      <c r="A1930" t="inlineStr">
        <is>
          <t>CL001929</t>
        </is>
      </c>
      <c r="B1930" t="inlineStr">
        <is>
          <t>not_invited</t>
        </is>
      </c>
    </row>
    <row r="1931">
      <c r="A1931" t="inlineStr">
        <is>
          <t>CL001930</t>
        </is>
      </c>
      <c r="B1931" t="inlineStr">
        <is>
          <t>not_invited</t>
        </is>
      </c>
    </row>
    <row r="1932">
      <c r="A1932" t="inlineStr">
        <is>
          <t>CL001931</t>
        </is>
      </c>
      <c r="B1932" t="inlineStr">
        <is>
          <t>not_invited</t>
        </is>
      </c>
    </row>
    <row r="1933">
      <c r="A1933" t="inlineStr">
        <is>
          <t>CL001932</t>
        </is>
      </c>
      <c r="B1933" t="inlineStr">
        <is>
          <t>not_invited</t>
        </is>
      </c>
    </row>
    <row r="1934">
      <c r="A1934" t="inlineStr">
        <is>
          <t>CL001933</t>
        </is>
      </c>
      <c r="B1934" t="inlineStr">
        <is>
          <t>not_invited</t>
        </is>
      </c>
    </row>
    <row r="1935">
      <c r="A1935" t="inlineStr">
        <is>
          <t>CL001934</t>
        </is>
      </c>
      <c r="B1935" t="inlineStr">
        <is>
          <t>not_invited</t>
        </is>
      </c>
    </row>
    <row r="1936">
      <c r="A1936" t="inlineStr">
        <is>
          <t>CL001935</t>
        </is>
      </c>
      <c r="B1936" t="inlineStr">
        <is>
          <t>not_invited</t>
        </is>
      </c>
    </row>
    <row r="1937">
      <c r="A1937" t="inlineStr">
        <is>
          <t>CL001936</t>
        </is>
      </c>
      <c r="B1937" t="inlineStr">
        <is>
          <t>not_invited</t>
        </is>
      </c>
    </row>
    <row r="1938">
      <c r="A1938" t="inlineStr">
        <is>
          <t>CL001937</t>
        </is>
      </c>
      <c r="B1938" t="inlineStr">
        <is>
          <t>not_invited</t>
        </is>
      </c>
    </row>
    <row r="1939">
      <c r="A1939" t="inlineStr">
        <is>
          <t>CL001938</t>
        </is>
      </c>
      <c r="B1939" t="inlineStr">
        <is>
          <t>not_invited</t>
        </is>
      </c>
    </row>
    <row r="1940">
      <c r="A1940" t="inlineStr">
        <is>
          <t>CL001939</t>
        </is>
      </c>
      <c r="B1940" t="inlineStr">
        <is>
          <t>not_invited</t>
        </is>
      </c>
    </row>
    <row r="1941">
      <c r="A1941" t="inlineStr">
        <is>
          <t>CL001940</t>
        </is>
      </c>
      <c r="B1941" t="inlineStr">
        <is>
          <t>not_invited</t>
        </is>
      </c>
    </row>
    <row r="1942">
      <c r="A1942" t="inlineStr">
        <is>
          <t>CL001941</t>
        </is>
      </c>
      <c r="B1942" t="inlineStr">
        <is>
          <t>not_invited</t>
        </is>
      </c>
    </row>
    <row r="1943">
      <c r="A1943" t="inlineStr">
        <is>
          <t>CL001942</t>
        </is>
      </c>
      <c r="B1943" t="inlineStr">
        <is>
          <t>responded</t>
        </is>
      </c>
      <c r="C1943" t="n">
        <v>0</v>
      </c>
      <c r="D1943" t="n">
        <v>0</v>
      </c>
      <c r="E1943" t="n">
        <v>35.29038396266813</v>
      </c>
    </row>
    <row r="1944">
      <c r="A1944" t="inlineStr">
        <is>
          <t>CL001943</t>
        </is>
      </c>
      <c r="B1944" t="inlineStr">
        <is>
          <t>not_invited</t>
        </is>
      </c>
    </row>
    <row r="1945">
      <c r="A1945" t="inlineStr">
        <is>
          <t>CL001944</t>
        </is>
      </c>
      <c r="B1945" t="inlineStr">
        <is>
          <t>not_invited</t>
        </is>
      </c>
    </row>
    <row r="1946">
      <c r="A1946" t="inlineStr">
        <is>
          <t>CL001945</t>
        </is>
      </c>
      <c r="B1946" t="inlineStr">
        <is>
          <t>not_invited</t>
        </is>
      </c>
    </row>
    <row r="1947">
      <c r="A1947" t="inlineStr">
        <is>
          <t>CL001946</t>
        </is>
      </c>
      <c r="B1947" t="inlineStr">
        <is>
          <t>not_invited</t>
        </is>
      </c>
    </row>
    <row r="1948">
      <c r="A1948" t="inlineStr">
        <is>
          <t>CL001947</t>
        </is>
      </c>
      <c r="B1948" t="inlineStr">
        <is>
          <t>not_invited</t>
        </is>
      </c>
    </row>
    <row r="1949">
      <c r="A1949" t="inlineStr">
        <is>
          <t>CL001948</t>
        </is>
      </c>
      <c r="B1949" t="inlineStr">
        <is>
          <t>not_invited</t>
        </is>
      </c>
    </row>
    <row r="1950">
      <c r="A1950" t="inlineStr">
        <is>
          <t>CL001949</t>
        </is>
      </c>
      <c r="B1950" t="inlineStr">
        <is>
          <t>not_invited</t>
        </is>
      </c>
    </row>
    <row r="1951">
      <c r="A1951" t="inlineStr">
        <is>
          <t>CL001950</t>
        </is>
      </c>
      <c r="B1951" t="inlineStr">
        <is>
          <t>not_invited</t>
        </is>
      </c>
    </row>
    <row r="1952">
      <c r="A1952" t="inlineStr">
        <is>
          <t>CL001951</t>
        </is>
      </c>
      <c r="B1952" t="inlineStr">
        <is>
          <t>not_invited</t>
        </is>
      </c>
    </row>
    <row r="1953">
      <c r="A1953" t="inlineStr">
        <is>
          <t>CL001952</t>
        </is>
      </c>
      <c r="B1953" t="inlineStr">
        <is>
          <t>not_invited</t>
        </is>
      </c>
    </row>
    <row r="1954">
      <c r="A1954" t="inlineStr">
        <is>
          <t>CL001953</t>
        </is>
      </c>
      <c r="B1954" t="inlineStr">
        <is>
          <t>not_invited</t>
        </is>
      </c>
    </row>
    <row r="1955">
      <c r="A1955" t="inlineStr">
        <is>
          <t>CL001954</t>
        </is>
      </c>
      <c r="B1955" t="inlineStr">
        <is>
          <t>not_invited</t>
        </is>
      </c>
    </row>
    <row r="1956">
      <c r="A1956" t="inlineStr">
        <is>
          <t>CL001955</t>
        </is>
      </c>
      <c r="B1956" t="inlineStr">
        <is>
          <t>not_invited</t>
        </is>
      </c>
    </row>
    <row r="1957">
      <c r="A1957" t="inlineStr">
        <is>
          <t>CL001956</t>
        </is>
      </c>
      <c r="B1957" t="inlineStr">
        <is>
          <t>not_invited</t>
        </is>
      </c>
    </row>
    <row r="1958">
      <c r="A1958" t="inlineStr">
        <is>
          <t>CL001957</t>
        </is>
      </c>
      <c r="B1958" t="inlineStr">
        <is>
          <t>not_invited</t>
        </is>
      </c>
    </row>
    <row r="1959">
      <c r="A1959" t="inlineStr">
        <is>
          <t>CL001958</t>
        </is>
      </c>
      <c r="B1959" t="inlineStr">
        <is>
          <t>not_invited</t>
        </is>
      </c>
    </row>
    <row r="1960">
      <c r="A1960" t="inlineStr">
        <is>
          <t>CL001959</t>
        </is>
      </c>
      <c r="B1960" t="inlineStr">
        <is>
          <t>responded</t>
        </is>
      </c>
      <c r="C1960" t="n">
        <v>0</v>
      </c>
      <c r="D1960" t="n">
        <v>0</v>
      </c>
      <c r="E1960" t="n">
        <v>35.29038396266813</v>
      </c>
    </row>
    <row r="1961">
      <c r="A1961" t="inlineStr">
        <is>
          <t>CL001960</t>
        </is>
      </c>
      <c r="B1961" t="inlineStr">
        <is>
          <t>not_invited</t>
        </is>
      </c>
    </row>
    <row r="1962">
      <c r="A1962" t="inlineStr">
        <is>
          <t>CL001961</t>
        </is>
      </c>
      <c r="B1962" t="inlineStr">
        <is>
          <t>not_invited</t>
        </is>
      </c>
    </row>
    <row r="1963">
      <c r="A1963" t="inlineStr">
        <is>
          <t>CL001962</t>
        </is>
      </c>
      <c r="B1963" t="inlineStr">
        <is>
          <t>not_invited</t>
        </is>
      </c>
    </row>
    <row r="1964">
      <c r="A1964" t="inlineStr">
        <is>
          <t>CL001963</t>
        </is>
      </c>
      <c r="B1964" t="inlineStr">
        <is>
          <t>not_invited</t>
        </is>
      </c>
    </row>
    <row r="1965">
      <c r="A1965" t="inlineStr">
        <is>
          <t>CL001964</t>
        </is>
      </c>
      <c r="B1965" t="inlineStr">
        <is>
          <t>not_invited</t>
        </is>
      </c>
    </row>
    <row r="1966">
      <c r="A1966" t="inlineStr">
        <is>
          <t>CL001965</t>
        </is>
      </c>
      <c r="B1966" t="inlineStr">
        <is>
          <t>not_invited</t>
        </is>
      </c>
    </row>
    <row r="1967">
      <c r="A1967" t="inlineStr">
        <is>
          <t>CL001966</t>
        </is>
      </c>
      <c r="B1967" t="inlineStr">
        <is>
          <t>not_invited</t>
        </is>
      </c>
    </row>
    <row r="1968">
      <c r="A1968" t="inlineStr">
        <is>
          <t>CL001967</t>
        </is>
      </c>
      <c r="B1968" t="inlineStr">
        <is>
          <t>not_invited</t>
        </is>
      </c>
    </row>
    <row r="1969">
      <c r="A1969" t="inlineStr">
        <is>
          <t>CL001968</t>
        </is>
      </c>
      <c r="B1969" t="inlineStr">
        <is>
          <t>not_invited</t>
        </is>
      </c>
    </row>
    <row r="1970">
      <c r="A1970" t="inlineStr">
        <is>
          <t>CL001969</t>
        </is>
      </c>
      <c r="B1970" t="inlineStr">
        <is>
          <t>not_invited</t>
        </is>
      </c>
    </row>
    <row r="1971">
      <c r="A1971" t="inlineStr">
        <is>
          <t>CL001970</t>
        </is>
      </c>
      <c r="B1971" t="inlineStr">
        <is>
          <t>not_invited</t>
        </is>
      </c>
    </row>
    <row r="1972">
      <c r="A1972" t="inlineStr">
        <is>
          <t>CL001971</t>
        </is>
      </c>
      <c r="B1972" t="inlineStr">
        <is>
          <t>not_invited</t>
        </is>
      </c>
    </row>
    <row r="1973">
      <c r="A1973" t="inlineStr">
        <is>
          <t>CL001972</t>
        </is>
      </c>
      <c r="B1973" t="inlineStr">
        <is>
          <t>not_invited</t>
        </is>
      </c>
    </row>
    <row r="1974">
      <c r="A1974" t="inlineStr">
        <is>
          <t>CL001973</t>
        </is>
      </c>
      <c r="B1974" t="inlineStr">
        <is>
          <t>not_invited</t>
        </is>
      </c>
    </row>
    <row r="1975">
      <c r="A1975" t="inlineStr">
        <is>
          <t>CL001974</t>
        </is>
      </c>
      <c r="B1975" t="inlineStr">
        <is>
          <t>not_invited</t>
        </is>
      </c>
    </row>
    <row r="1976">
      <c r="A1976" t="inlineStr">
        <is>
          <t>CL001975</t>
        </is>
      </c>
      <c r="B1976" t="inlineStr">
        <is>
          <t>not_invited</t>
        </is>
      </c>
    </row>
    <row r="1977">
      <c r="A1977" t="inlineStr">
        <is>
          <t>CL001976</t>
        </is>
      </c>
      <c r="B1977" t="inlineStr">
        <is>
          <t>not_invited</t>
        </is>
      </c>
    </row>
    <row r="1978">
      <c r="A1978" t="inlineStr">
        <is>
          <t>CL001977</t>
        </is>
      </c>
      <c r="B1978" t="inlineStr">
        <is>
          <t>not_invited</t>
        </is>
      </c>
    </row>
    <row r="1979">
      <c r="A1979" t="inlineStr">
        <is>
          <t>CL001978</t>
        </is>
      </c>
      <c r="B1979" t="inlineStr">
        <is>
          <t>not_invited</t>
        </is>
      </c>
    </row>
    <row r="1980">
      <c r="A1980" t="inlineStr">
        <is>
          <t>CL001979</t>
        </is>
      </c>
      <c r="B1980" t="inlineStr">
        <is>
          <t>not_invited</t>
        </is>
      </c>
    </row>
    <row r="1981">
      <c r="A1981" t="inlineStr">
        <is>
          <t>CL001980</t>
        </is>
      </c>
      <c r="B1981" t="inlineStr">
        <is>
          <t>not_invited</t>
        </is>
      </c>
    </row>
    <row r="1982">
      <c r="A1982" t="inlineStr">
        <is>
          <t>CL001981</t>
        </is>
      </c>
      <c r="B1982" t="inlineStr">
        <is>
          <t>not_invited</t>
        </is>
      </c>
    </row>
    <row r="1983">
      <c r="A1983" t="inlineStr">
        <is>
          <t>CL001982</t>
        </is>
      </c>
      <c r="B1983" t="inlineStr">
        <is>
          <t>not_invited</t>
        </is>
      </c>
    </row>
    <row r="1984">
      <c r="A1984" t="inlineStr">
        <is>
          <t>CL001983</t>
        </is>
      </c>
      <c r="B1984" t="inlineStr">
        <is>
          <t>not_invited</t>
        </is>
      </c>
    </row>
    <row r="1985">
      <c r="A1985" t="inlineStr">
        <is>
          <t>CL001984</t>
        </is>
      </c>
      <c r="B1985" t="inlineStr">
        <is>
          <t>not_invited</t>
        </is>
      </c>
    </row>
    <row r="1986">
      <c r="A1986" t="inlineStr">
        <is>
          <t>CL001985</t>
        </is>
      </c>
      <c r="B1986" t="inlineStr">
        <is>
          <t>not_invited</t>
        </is>
      </c>
    </row>
    <row r="1987">
      <c r="A1987" t="inlineStr">
        <is>
          <t>CL001986</t>
        </is>
      </c>
      <c r="B1987" t="inlineStr">
        <is>
          <t>not_invited</t>
        </is>
      </c>
    </row>
    <row r="1988">
      <c r="A1988" t="inlineStr">
        <is>
          <t>CL001987</t>
        </is>
      </c>
      <c r="B1988" t="inlineStr">
        <is>
          <t>not_invited</t>
        </is>
      </c>
    </row>
    <row r="1989">
      <c r="A1989" t="inlineStr">
        <is>
          <t>CL001988</t>
        </is>
      </c>
      <c r="B1989" t="inlineStr">
        <is>
          <t>not_invited</t>
        </is>
      </c>
    </row>
    <row r="1990">
      <c r="A1990" t="inlineStr">
        <is>
          <t>CL001989</t>
        </is>
      </c>
      <c r="B1990" t="inlineStr">
        <is>
          <t>not_invited</t>
        </is>
      </c>
    </row>
    <row r="1991">
      <c r="A1991" t="inlineStr">
        <is>
          <t>CL001990</t>
        </is>
      </c>
      <c r="B1991" t="inlineStr">
        <is>
          <t>not_invited</t>
        </is>
      </c>
    </row>
    <row r="1992">
      <c r="A1992" t="inlineStr">
        <is>
          <t>CL001991</t>
        </is>
      </c>
      <c r="B1992" t="inlineStr">
        <is>
          <t>not_invited</t>
        </is>
      </c>
    </row>
    <row r="1993">
      <c r="A1993" t="inlineStr">
        <is>
          <t>CL001992</t>
        </is>
      </c>
      <c r="B1993" t="inlineStr">
        <is>
          <t>not_invited</t>
        </is>
      </c>
    </row>
    <row r="1994">
      <c r="A1994" t="inlineStr">
        <is>
          <t>CL001993</t>
        </is>
      </c>
      <c r="B1994" t="inlineStr">
        <is>
          <t>responded</t>
        </is>
      </c>
      <c r="C1994" t="n">
        <v>1</v>
      </c>
      <c r="D1994" t="n">
        <v>1</v>
      </c>
      <c r="E1994" t="n">
        <v>63.24711745155093</v>
      </c>
    </row>
    <row r="1995">
      <c r="A1995" t="inlineStr">
        <is>
          <t>CL001994</t>
        </is>
      </c>
      <c r="B1995" t="inlineStr">
        <is>
          <t>responded</t>
        </is>
      </c>
      <c r="C1995" t="n">
        <v>0</v>
      </c>
      <c r="D1995" t="n">
        <v>0</v>
      </c>
      <c r="E1995" t="n">
        <v>35.29038396266813</v>
      </c>
    </row>
    <row r="1996">
      <c r="A1996" t="inlineStr">
        <is>
          <t>CL001995</t>
        </is>
      </c>
      <c r="B1996" t="inlineStr">
        <is>
          <t>not_invited</t>
        </is>
      </c>
    </row>
    <row r="1997">
      <c r="A1997" t="inlineStr">
        <is>
          <t>CL001996</t>
        </is>
      </c>
      <c r="B1997" t="inlineStr">
        <is>
          <t>not_invited</t>
        </is>
      </c>
    </row>
    <row r="1998">
      <c r="A1998" t="inlineStr">
        <is>
          <t>CL001997</t>
        </is>
      </c>
      <c r="B1998" t="inlineStr">
        <is>
          <t>not_invited</t>
        </is>
      </c>
    </row>
    <row r="1999">
      <c r="A1999" t="inlineStr">
        <is>
          <t>CL001998</t>
        </is>
      </c>
      <c r="B1999" t="inlineStr">
        <is>
          <t>nonresponse</t>
        </is>
      </c>
    </row>
    <row r="2000">
      <c r="A2000" t="inlineStr">
        <is>
          <t>CL001999</t>
        </is>
      </c>
      <c r="B2000" t="inlineStr">
        <is>
          <t>not_invited</t>
        </is>
      </c>
    </row>
    <row r="2001">
      <c r="A2001" t="inlineStr">
        <is>
          <t>CL002000</t>
        </is>
      </c>
      <c r="B2001" t="inlineStr">
        <is>
          <t>not_invited</t>
        </is>
      </c>
    </row>
    <row r="2002">
      <c r="A2002" t="inlineStr">
        <is>
          <t>CL002001</t>
        </is>
      </c>
      <c r="B2002" t="inlineStr">
        <is>
          <t>not_invited</t>
        </is>
      </c>
    </row>
    <row r="2003">
      <c r="A2003" t="inlineStr">
        <is>
          <t>CL002002</t>
        </is>
      </c>
      <c r="B2003" t="inlineStr">
        <is>
          <t>not_invited</t>
        </is>
      </c>
    </row>
    <row r="2004">
      <c r="A2004" t="inlineStr">
        <is>
          <t>CL002003</t>
        </is>
      </c>
      <c r="B2004" t="inlineStr">
        <is>
          <t>not_invited</t>
        </is>
      </c>
    </row>
    <row r="2005">
      <c r="A2005" t="inlineStr">
        <is>
          <t>CL002004</t>
        </is>
      </c>
      <c r="B2005" t="inlineStr">
        <is>
          <t>not_invited</t>
        </is>
      </c>
    </row>
    <row r="2006">
      <c r="A2006" t="inlineStr">
        <is>
          <t>CL002005</t>
        </is>
      </c>
      <c r="B2006" t="inlineStr">
        <is>
          <t>not_invited</t>
        </is>
      </c>
    </row>
    <row r="2007">
      <c r="A2007" t="inlineStr">
        <is>
          <t>CL002006</t>
        </is>
      </c>
      <c r="B2007" t="inlineStr">
        <is>
          <t>not_invited</t>
        </is>
      </c>
    </row>
    <row r="2008">
      <c r="A2008" t="inlineStr">
        <is>
          <t>CL002007</t>
        </is>
      </c>
      <c r="B2008" t="inlineStr">
        <is>
          <t>not_invited</t>
        </is>
      </c>
    </row>
    <row r="2009">
      <c r="A2009" t="inlineStr">
        <is>
          <t>CL002008</t>
        </is>
      </c>
      <c r="B2009" t="inlineStr">
        <is>
          <t>not_invited</t>
        </is>
      </c>
    </row>
    <row r="2010">
      <c r="A2010" t="inlineStr">
        <is>
          <t>CL002009</t>
        </is>
      </c>
      <c r="B2010" t="inlineStr">
        <is>
          <t>not_invited</t>
        </is>
      </c>
    </row>
    <row r="2011">
      <c r="A2011" t="inlineStr">
        <is>
          <t>CL002010</t>
        </is>
      </c>
      <c r="B2011" t="inlineStr">
        <is>
          <t>not_invited</t>
        </is>
      </c>
    </row>
    <row r="2012">
      <c r="A2012" t="inlineStr">
        <is>
          <t>CL002011</t>
        </is>
      </c>
      <c r="B2012" t="inlineStr">
        <is>
          <t>not_invited</t>
        </is>
      </c>
    </row>
    <row r="2013">
      <c r="A2013" t="inlineStr">
        <is>
          <t>CL002012</t>
        </is>
      </c>
      <c r="B2013" t="inlineStr">
        <is>
          <t>responded</t>
        </is>
      </c>
      <c r="C2013" t="n">
        <v>1</v>
      </c>
      <c r="D2013" t="n">
        <v>1</v>
      </c>
      <c r="E2013" t="n">
        <v>63.24711745155093</v>
      </c>
    </row>
    <row r="2014">
      <c r="A2014" t="inlineStr">
        <is>
          <t>CL002013</t>
        </is>
      </c>
      <c r="B2014" t="inlineStr">
        <is>
          <t>not_invited</t>
        </is>
      </c>
    </row>
    <row r="2015">
      <c r="A2015" t="inlineStr">
        <is>
          <t>CL002014</t>
        </is>
      </c>
      <c r="B2015" t="inlineStr">
        <is>
          <t>not_invited</t>
        </is>
      </c>
    </row>
    <row r="2016">
      <c r="A2016" t="inlineStr">
        <is>
          <t>CL002015</t>
        </is>
      </c>
      <c r="B2016" t="inlineStr">
        <is>
          <t>not_invited</t>
        </is>
      </c>
    </row>
    <row r="2017">
      <c r="A2017" t="inlineStr">
        <is>
          <t>CL002016</t>
        </is>
      </c>
      <c r="B2017" t="inlineStr">
        <is>
          <t>not_invited</t>
        </is>
      </c>
    </row>
    <row r="2018">
      <c r="A2018" t="inlineStr">
        <is>
          <t>CL002017</t>
        </is>
      </c>
      <c r="B2018" t="inlineStr">
        <is>
          <t>not_invited</t>
        </is>
      </c>
    </row>
    <row r="2019">
      <c r="A2019" t="inlineStr">
        <is>
          <t>CL002018</t>
        </is>
      </c>
      <c r="B2019" t="inlineStr">
        <is>
          <t>not_invited</t>
        </is>
      </c>
    </row>
    <row r="2020">
      <c r="A2020" t="inlineStr">
        <is>
          <t>CL002019</t>
        </is>
      </c>
      <c r="B2020" t="inlineStr">
        <is>
          <t>not_invited</t>
        </is>
      </c>
    </row>
    <row r="2021">
      <c r="A2021" t="inlineStr">
        <is>
          <t>CL002020</t>
        </is>
      </c>
      <c r="B2021" t="inlineStr">
        <is>
          <t>not_invited</t>
        </is>
      </c>
    </row>
    <row r="2022">
      <c r="A2022" t="inlineStr">
        <is>
          <t>CL002021</t>
        </is>
      </c>
      <c r="B2022" t="inlineStr">
        <is>
          <t>not_invited</t>
        </is>
      </c>
    </row>
    <row r="2023">
      <c r="A2023" t="inlineStr">
        <is>
          <t>CL002022</t>
        </is>
      </c>
      <c r="B2023" t="inlineStr">
        <is>
          <t>not_invited</t>
        </is>
      </c>
    </row>
    <row r="2024">
      <c r="A2024" t="inlineStr">
        <is>
          <t>CL002023</t>
        </is>
      </c>
      <c r="B2024" t="inlineStr">
        <is>
          <t>not_invited</t>
        </is>
      </c>
    </row>
    <row r="2025">
      <c r="A2025" t="inlineStr">
        <is>
          <t>CL002024</t>
        </is>
      </c>
      <c r="B2025" t="inlineStr">
        <is>
          <t>not_invited</t>
        </is>
      </c>
    </row>
    <row r="2026">
      <c r="A2026" t="inlineStr">
        <is>
          <t>CL002025</t>
        </is>
      </c>
      <c r="B2026" t="inlineStr">
        <is>
          <t>not_invited</t>
        </is>
      </c>
    </row>
    <row r="2027">
      <c r="A2027" t="inlineStr">
        <is>
          <t>CL002026</t>
        </is>
      </c>
      <c r="B2027" t="inlineStr">
        <is>
          <t>not_invited</t>
        </is>
      </c>
    </row>
    <row r="2028">
      <c r="A2028" t="inlineStr">
        <is>
          <t>CL002027</t>
        </is>
      </c>
      <c r="B2028" t="inlineStr">
        <is>
          <t>not_invited</t>
        </is>
      </c>
    </row>
    <row r="2029">
      <c r="A2029" t="inlineStr">
        <is>
          <t>CL002028</t>
        </is>
      </c>
      <c r="B2029" t="inlineStr">
        <is>
          <t>not_invited</t>
        </is>
      </c>
    </row>
    <row r="2030">
      <c r="A2030" t="inlineStr">
        <is>
          <t>CL002029</t>
        </is>
      </c>
      <c r="B2030" t="inlineStr">
        <is>
          <t>not_invited</t>
        </is>
      </c>
    </row>
    <row r="2031">
      <c r="A2031" t="inlineStr">
        <is>
          <t>CL002030</t>
        </is>
      </c>
      <c r="B2031" t="inlineStr">
        <is>
          <t>responded</t>
        </is>
      </c>
      <c r="C2031" t="n">
        <v>1</v>
      </c>
      <c r="D2031" t="n">
        <v>1</v>
      </c>
      <c r="E2031" t="n">
        <v>63.24711745155093</v>
      </c>
    </row>
    <row r="2032">
      <c r="A2032" t="inlineStr">
        <is>
          <t>CL002031</t>
        </is>
      </c>
      <c r="B2032" t="inlineStr">
        <is>
          <t>not_invited</t>
        </is>
      </c>
    </row>
    <row r="2033">
      <c r="A2033" t="inlineStr">
        <is>
          <t>CL002032</t>
        </is>
      </c>
      <c r="B2033" t="inlineStr">
        <is>
          <t>responded</t>
        </is>
      </c>
      <c r="C2033" t="n">
        <v>0</v>
      </c>
      <c r="D2033" t="n">
        <v>0</v>
      </c>
      <c r="E2033" t="n">
        <v>35.29038396266813</v>
      </c>
    </row>
    <row r="2034">
      <c r="A2034" t="inlineStr">
        <is>
          <t>CL002033</t>
        </is>
      </c>
      <c r="B2034" t="inlineStr">
        <is>
          <t>not_invited</t>
        </is>
      </c>
    </row>
    <row r="2035">
      <c r="A2035" t="inlineStr">
        <is>
          <t>CL002034</t>
        </is>
      </c>
      <c r="B2035" t="inlineStr">
        <is>
          <t>not_invited</t>
        </is>
      </c>
    </row>
    <row r="2036">
      <c r="A2036" t="inlineStr">
        <is>
          <t>CL002035</t>
        </is>
      </c>
      <c r="B2036" t="inlineStr">
        <is>
          <t>not_invited</t>
        </is>
      </c>
    </row>
    <row r="2037">
      <c r="A2037" t="inlineStr">
        <is>
          <t>CL002036</t>
        </is>
      </c>
      <c r="B2037" t="inlineStr">
        <is>
          <t>not_invited</t>
        </is>
      </c>
    </row>
    <row r="2038">
      <c r="A2038" t="inlineStr">
        <is>
          <t>CL002037</t>
        </is>
      </c>
      <c r="B2038" t="inlineStr">
        <is>
          <t>not_invited</t>
        </is>
      </c>
    </row>
    <row r="2039">
      <c r="A2039" t="inlineStr">
        <is>
          <t>CL002038</t>
        </is>
      </c>
      <c r="B2039" t="inlineStr">
        <is>
          <t>not_invited</t>
        </is>
      </c>
    </row>
    <row r="2040">
      <c r="A2040" t="inlineStr">
        <is>
          <t>CL002039</t>
        </is>
      </c>
      <c r="B2040" t="inlineStr">
        <is>
          <t>not_invited</t>
        </is>
      </c>
    </row>
    <row r="2041">
      <c r="A2041" t="inlineStr">
        <is>
          <t>CL002040</t>
        </is>
      </c>
      <c r="B2041" t="inlineStr">
        <is>
          <t>not_invited</t>
        </is>
      </c>
    </row>
    <row r="2042">
      <c r="A2042" t="inlineStr">
        <is>
          <t>CL002041</t>
        </is>
      </c>
      <c r="B2042" t="inlineStr">
        <is>
          <t>not_invited</t>
        </is>
      </c>
    </row>
    <row r="2043">
      <c r="A2043" t="inlineStr">
        <is>
          <t>CL002042</t>
        </is>
      </c>
      <c r="B2043" t="inlineStr">
        <is>
          <t>not_invited</t>
        </is>
      </c>
    </row>
    <row r="2044">
      <c r="A2044" t="inlineStr">
        <is>
          <t>CL002043</t>
        </is>
      </c>
      <c r="B2044" t="inlineStr">
        <is>
          <t>not_invited</t>
        </is>
      </c>
    </row>
    <row r="2045">
      <c r="A2045" t="inlineStr">
        <is>
          <t>CL002044</t>
        </is>
      </c>
      <c r="B2045" t="inlineStr">
        <is>
          <t>not_invited</t>
        </is>
      </c>
    </row>
    <row r="2046">
      <c r="A2046" t="inlineStr">
        <is>
          <t>CL002045</t>
        </is>
      </c>
      <c r="B2046" t="inlineStr">
        <is>
          <t>not_invited</t>
        </is>
      </c>
    </row>
    <row r="2047">
      <c r="A2047" t="inlineStr">
        <is>
          <t>CL002046</t>
        </is>
      </c>
      <c r="B2047" t="inlineStr">
        <is>
          <t>not_invited</t>
        </is>
      </c>
    </row>
    <row r="2048">
      <c r="A2048" t="inlineStr">
        <is>
          <t>CL002047</t>
        </is>
      </c>
      <c r="B2048" t="inlineStr">
        <is>
          <t>not_invited</t>
        </is>
      </c>
    </row>
    <row r="2049">
      <c r="A2049" t="inlineStr">
        <is>
          <t>CL002048</t>
        </is>
      </c>
      <c r="B2049" t="inlineStr">
        <is>
          <t>not_invited</t>
        </is>
      </c>
    </row>
    <row r="2050">
      <c r="A2050" t="inlineStr">
        <is>
          <t>CL002049</t>
        </is>
      </c>
      <c r="B2050" t="inlineStr">
        <is>
          <t>responded</t>
        </is>
      </c>
      <c r="C2050" t="n">
        <v>0</v>
      </c>
      <c r="D2050" t="n">
        <v>0</v>
      </c>
      <c r="E2050" t="n">
        <v>35.29038396266813</v>
      </c>
    </row>
    <row r="2051">
      <c r="A2051" t="inlineStr">
        <is>
          <t>CL002050</t>
        </is>
      </c>
      <c r="B2051" t="inlineStr">
        <is>
          <t>not_invited</t>
        </is>
      </c>
    </row>
    <row r="2052">
      <c r="A2052" t="inlineStr">
        <is>
          <t>CL002051</t>
        </is>
      </c>
      <c r="B2052" t="inlineStr">
        <is>
          <t>not_invited</t>
        </is>
      </c>
    </row>
    <row r="2053">
      <c r="A2053" t="inlineStr">
        <is>
          <t>CL002052</t>
        </is>
      </c>
      <c r="B2053" t="inlineStr">
        <is>
          <t>not_invited</t>
        </is>
      </c>
    </row>
    <row r="2054">
      <c r="A2054" t="inlineStr">
        <is>
          <t>CL002053</t>
        </is>
      </c>
      <c r="B2054" t="inlineStr">
        <is>
          <t>not_invited</t>
        </is>
      </c>
    </row>
    <row r="2055">
      <c r="A2055" t="inlineStr">
        <is>
          <t>CL002054</t>
        </is>
      </c>
      <c r="B2055" t="inlineStr">
        <is>
          <t>not_invited</t>
        </is>
      </c>
    </row>
    <row r="2056">
      <c r="A2056" t="inlineStr">
        <is>
          <t>CL002055</t>
        </is>
      </c>
      <c r="B2056" t="inlineStr">
        <is>
          <t>not_invited</t>
        </is>
      </c>
    </row>
    <row r="2057">
      <c r="A2057" t="inlineStr">
        <is>
          <t>CL002056</t>
        </is>
      </c>
      <c r="B2057" t="inlineStr">
        <is>
          <t>not_invited</t>
        </is>
      </c>
    </row>
    <row r="2058">
      <c r="A2058" t="inlineStr">
        <is>
          <t>CL002057</t>
        </is>
      </c>
      <c r="B2058" t="inlineStr">
        <is>
          <t>not_invited</t>
        </is>
      </c>
    </row>
    <row r="2059">
      <c r="A2059" t="inlineStr">
        <is>
          <t>CL002058</t>
        </is>
      </c>
      <c r="B2059" t="inlineStr">
        <is>
          <t>not_invited</t>
        </is>
      </c>
    </row>
    <row r="2060">
      <c r="A2060" t="inlineStr">
        <is>
          <t>CL002059</t>
        </is>
      </c>
      <c r="B2060" t="inlineStr">
        <is>
          <t>not_invited</t>
        </is>
      </c>
    </row>
    <row r="2061">
      <c r="A2061" t="inlineStr">
        <is>
          <t>CL002060</t>
        </is>
      </c>
      <c r="B2061" t="inlineStr">
        <is>
          <t>not_invited</t>
        </is>
      </c>
    </row>
    <row r="2062">
      <c r="A2062" t="inlineStr">
        <is>
          <t>CL002061</t>
        </is>
      </c>
      <c r="B2062" t="inlineStr">
        <is>
          <t>not_invited</t>
        </is>
      </c>
    </row>
    <row r="2063">
      <c r="A2063" t="inlineStr">
        <is>
          <t>CL002062</t>
        </is>
      </c>
      <c r="B2063" t="inlineStr">
        <is>
          <t>not_invited</t>
        </is>
      </c>
    </row>
    <row r="2064">
      <c r="A2064" t="inlineStr">
        <is>
          <t>CL002063</t>
        </is>
      </c>
      <c r="B2064" t="inlineStr">
        <is>
          <t>not_invited</t>
        </is>
      </c>
    </row>
    <row r="2065">
      <c r="A2065" t="inlineStr">
        <is>
          <t>CL002064</t>
        </is>
      </c>
      <c r="B2065" t="inlineStr">
        <is>
          <t>not_invited</t>
        </is>
      </c>
    </row>
    <row r="2066">
      <c r="A2066" t="inlineStr">
        <is>
          <t>CL002065</t>
        </is>
      </c>
      <c r="B2066" t="inlineStr">
        <is>
          <t>not_invited</t>
        </is>
      </c>
    </row>
    <row r="2067">
      <c r="A2067" t="inlineStr">
        <is>
          <t>CL002066</t>
        </is>
      </c>
      <c r="B2067" t="inlineStr">
        <is>
          <t>not_invited</t>
        </is>
      </c>
    </row>
    <row r="2068">
      <c r="A2068" t="inlineStr">
        <is>
          <t>CL002067</t>
        </is>
      </c>
      <c r="B2068" t="inlineStr">
        <is>
          <t>not_invited</t>
        </is>
      </c>
    </row>
    <row r="2069">
      <c r="A2069" t="inlineStr">
        <is>
          <t>CL002068</t>
        </is>
      </c>
      <c r="B2069" t="inlineStr">
        <is>
          <t>not_invited</t>
        </is>
      </c>
    </row>
    <row r="2070">
      <c r="A2070" t="inlineStr">
        <is>
          <t>CL002069</t>
        </is>
      </c>
      <c r="B2070" t="inlineStr">
        <is>
          <t>not_invited</t>
        </is>
      </c>
    </row>
    <row r="2071">
      <c r="A2071" t="inlineStr">
        <is>
          <t>CL002070</t>
        </is>
      </c>
      <c r="B2071" t="inlineStr">
        <is>
          <t>not_invited</t>
        </is>
      </c>
    </row>
    <row r="2072">
      <c r="A2072" t="inlineStr">
        <is>
          <t>CL002071</t>
        </is>
      </c>
      <c r="B2072" t="inlineStr">
        <is>
          <t>not_invited</t>
        </is>
      </c>
    </row>
    <row r="2073">
      <c r="A2073" t="inlineStr">
        <is>
          <t>CL002072</t>
        </is>
      </c>
      <c r="B2073" t="inlineStr">
        <is>
          <t>not_invited</t>
        </is>
      </c>
    </row>
    <row r="2074">
      <c r="A2074" t="inlineStr">
        <is>
          <t>CL002073</t>
        </is>
      </c>
      <c r="B2074" t="inlineStr">
        <is>
          <t>not_invited</t>
        </is>
      </c>
    </row>
    <row r="2075">
      <c r="A2075" t="inlineStr">
        <is>
          <t>CL002074</t>
        </is>
      </c>
      <c r="B2075" t="inlineStr">
        <is>
          <t>not_invited</t>
        </is>
      </c>
    </row>
    <row r="2076">
      <c r="A2076" t="inlineStr">
        <is>
          <t>CL002075</t>
        </is>
      </c>
      <c r="B2076" t="inlineStr">
        <is>
          <t>not_invited</t>
        </is>
      </c>
    </row>
    <row r="2077">
      <c r="A2077" t="inlineStr">
        <is>
          <t>CL002076</t>
        </is>
      </c>
      <c r="B2077" t="inlineStr">
        <is>
          <t>not_invited</t>
        </is>
      </c>
    </row>
    <row r="2078">
      <c r="A2078" t="inlineStr">
        <is>
          <t>CL002077</t>
        </is>
      </c>
      <c r="B2078" t="inlineStr">
        <is>
          <t>not_invited</t>
        </is>
      </c>
    </row>
    <row r="2079">
      <c r="A2079" t="inlineStr">
        <is>
          <t>CL002078</t>
        </is>
      </c>
      <c r="B2079" t="inlineStr">
        <is>
          <t>not_invited</t>
        </is>
      </c>
    </row>
    <row r="2080">
      <c r="A2080" t="inlineStr">
        <is>
          <t>CL002079</t>
        </is>
      </c>
      <c r="B2080" t="inlineStr">
        <is>
          <t>not_invited</t>
        </is>
      </c>
    </row>
    <row r="2081">
      <c r="A2081" t="inlineStr">
        <is>
          <t>CL002080</t>
        </is>
      </c>
      <c r="B2081" t="inlineStr">
        <is>
          <t>not_invited</t>
        </is>
      </c>
    </row>
    <row r="2082">
      <c r="A2082" t="inlineStr">
        <is>
          <t>CL002081</t>
        </is>
      </c>
      <c r="B2082" t="inlineStr">
        <is>
          <t>not_invited</t>
        </is>
      </c>
    </row>
    <row r="2083">
      <c r="A2083" t="inlineStr">
        <is>
          <t>CL002082</t>
        </is>
      </c>
      <c r="B2083" t="inlineStr">
        <is>
          <t>not_invited</t>
        </is>
      </c>
    </row>
    <row r="2084">
      <c r="A2084" t="inlineStr">
        <is>
          <t>CL002083</t>
        </is>
      </c>
      <c r="B2084" t="inlineStr">
        <is>
          <t>not_invited</t>
        </is>
      </c>
    </row>
    <row r="2085">
      <c r="A2085" t="inlineStr">
        <is>
          <t>CL002084</t>
        </is>
      </c>
      <c r="B2085" t="inlineStr">
        <is>
          <t>not_invited</t>
        </is>
      </c>
    </row>
    <row r="2086">
      <c r="A2086" t="inlineStr">
        <is>
          <t>CL002085</t>
        </is>
      </c>
      <c r="B2086" t="inlineStr">
        <is>
          <t>not_invited</t>
        </is>
      </c>
    </row>
    <row r="2087">
      <c r="A2087" t="inlineStr">
        <is>
          <t>CL002086</t>
        </is>
      </c>
      <c r="B2087" t="inlineStr">
        <is>
          <t>not_invited</t>
        </is>
      </c>
    </row>
    <row r="2088">
      <c r="A2088" t="inlineStr">
        <is>
          <t>CL002087</t>
        </is>
      </c>
      <c r="B2088" t="inlineStr">
        <is>
          <t>not_invited</t>
        </is>
      </c>
    </row>
    <row r="2089">
      <c r="A2089" t="inlineStr">
        <is>
          <t>CL002088</t>
        </is>
      </c>
      <c r="B2089" t="inlineStr">
        <is>
          <t>not_invited</t>
        </is>
      </c>
    </row>
    <row r="2090">
      <c r="A2090" t="inlineStr">
        <is>
          <t>CL002089</t>
        </is>
      </c>
      <c r="B2090" t="inlineStr">
        <is>
          <t>not_invited</t>
        </is>
      </c>
    </row>
    <row r="2091">
      <c r="A2091" t="inlineStr">
        <is>
          <t>CL002090</t>
        </is>
      </c>
      <c r="B2091" t="inlineStr">
        <is>
          <t>not_invited</t>
        </is>
      </c>
    </row>
    <row r="2092">
      <c r="A2092" t="inlineStr">
        <is>
          <t>CL002091</t>
        </is>
      </c>
      <c r="B2092" t="inlineStr">
        <is>
          <t>not_invited</t>
        </is>
      </c>
    </row>
    <row r="2093">
      <c r="A2093" t="inlineStr">
        <is>
          <t>CL002092</t>
        </is>
      </c>
      <c r="B2093" t="inlineStr">
        <is>
          <t>not_invited</t>
        </is>
      </c>
    </row>
    <row r="2094">
      <c r="A2094" t="inlineStr">
        <is>
          <t>CL002093</t>
        </is>
      </c>
      <c r="B2094" t="inlineStr">
        <is>
          <t>not_invited</t>
        </is>
      </c>
    </row>
    <row r="2095">
      <c r="A2095" t="inlineStr">
        <is>
          <t>CL002094</t>
        </is>
      </c>
      <c r="B2095" t="inlineStr">
        <is>
          <t>not_invited</t>
        </is>
      </c>
    </row>
    <row r="2096">
      <c r="A2096" t="inlineStr">
        <is>
          <t>CL002095</t>
        </is>
      </c>
      <c r="B2096" t="inlineStr">
        <is>
          <t>not_invited</t>
        </is>
      </c>
    </row>
    <row r="2097">
      <c r="A2097" t="inlineStr">
        <is>
          <t>CL002096</t>
        </is>
      </c>
      <c r="B2097" t="inlineStr">
        <is>
          <t>not_invited</t>
        </is>
      </c>
    </row>
    <row r="2098">
      <c r="A2098" t="inlineStr">
        <is>
          <t>CL002097</t>
        </is>
      </c>
      <c r="B2098" t="inlineStr">
        <is>
          <t>not_invited</t>
        </is>
      </c>
    </row>
    <row r="2099">
      <c r="A2099" t="inlineStr">
        <is>
          <t>CL002098</t>
        </is>
      </c>
      <c r="B2099" t="inlineStr">
        <is>
          <t>not_invited</t>
        </is>
      </c>
    </row>
    <row r="2100">
      <c r="A2100" t="inlineStr">
        <is>
          <t>CL002099</t>
        </is>
      </c>
      <c r="B2100" t="inlineStr">
        <is>
          <t>not_invited</t>
        </is>
      </c>
    </row>
    <row r="2101">
      <c r="A2101" t="inlineStr">
        <is>
          <t>CL002100</t>
        </is>
      </c>
      <c r="B2101" t="inlineStr">
        <is>
          <t>not_invited</t>
        </is>
      </c>
    </row>
    <row r="2102">
      <c r="A2102" t="inlineStr">
        <is>
          <t>CL002101</t>
        </is>
      </c>
      <c r="B2102" t="inlineStr">
        <is>
          <t>not_invited</t>
        </is>
      </c>
    </row>
    <row r="2103">
      <c r="A2103" t="inlineStr">
        <is>
          <t>CL002102</t>
        </is>
      </c>
      <c r="B2103" t="inlineStr">
        <is>
          <t>not_invited</t>
        </is>
      </c>
    </row>
    <row r="2104">
      <c r="A2104" t="inlineStr">
        <is>
          <t>CL002103</t>
        </is>
      </c>
      <c r="B2104" t="inlineStr">
        <is>
          <t>not_invited</t>
        </is>
      </c>
    </row>
    <row r="2105">
      <c r="A2105" t="inlineStr">
        <is>
          <t>CL002104</t>
        </is>
      </c>
      <c r="B2105" t="inlineStr">
        <is>
          <t>not_invited</t>
        </is>
      </c>
    </row>
    <row r="2106">
      <c r="A2106" t="inlineStr">
        <is>
          <t>CL002105</t>
        </is>
      </c>
      <c r="B2106" t="inlineStr">
        <is>
          <t>not_invited</t>
        </is>
      </c>
    </row>
    <row r="2107">
      <c r="A2107" t="inlineStr">
        <is>
          <t>CL002106</t>
        </is>
      </c>
      <c r="B2107" t="inlineStr">
        <is>
          <t>not_invited</t>
        </is>
      </c>
    </row>
    <row r="2108">
      <c r="A2108" t="inlineStr">
        <is>
          <t>CL002107</t>
        </is>
      </c>
      <c r="B2108" t="inlineStr">
        <is>
          <t>not_invited</t>
        </is>
      </c>
    </row>
    <row r="2109">
      <c r="A2109" t="inlineStr">
        <is>
          <t>CL002108</t>
        </is>
      </c>
      <c r="B2109" t="inlineStr">
        <is>
          <t>not_invited</t>
        </is>
      </c>
    </row>
    <row r="2110">
      <c r="A2110" t="inlineStr">
        <is>
          <t>CL002109</t>
        </is>
      </c>
      <c r="B2110" t="inlineStr">
        <is>
          <t>not_invited</t>
        </is>
      </c>
    </row>
    <row r="2111">
      <c r="A2111" t="inlineStr">
        <is>
          <t>CL002110</t>
        </is>
      </c>
      <c r="B2111" t="inlineStr">
        <is>
          <t>not_invited</t>
        </is>
      </c>
    </row>
    <row r="2112">
      <c r="A2112" t="inlineStr">
        <is>
          <t>CL002111</t>
        </is>
      </c>
      <c r="B2112" t="inlineStr">
        <is>
          <t>not_invited</t>
        </is>
      </c>
    </row>
    <row r="2113">
      <c r="A2113" t="inlineStr">
        <is>
          <t>CL002112</t>
        </is>
      </c>
      <c r="B2113" t="inlineStr">
        <is>
          <t>not_invited</t>
        </is>
      </c>
    </row>
    <row r="2114">
      <c r="A2114" t="inlineStr">
        <is>
          <t>CL002113</t>
        </is>
      </c>
      <c r="B2114" t="inlineStr">
        <is>
          <t>not_invited</t>
        </is>
      </c>
    </row>
    <row r="2115">
      <c r="A2115" t="inlineStr">
        <is>
          <t>CL002114</t>
        </is>
      </c>
      <c r="B2115" t="inlineStr">
        <is>
          <t>not_invited</t>
        </is>
      </c>
    </row>
    <row r="2116">
      <c r="A2116" t="inlineStr">
        <is>
          <t>CL002115</t>
        </is>
      </c>
      <c r="B2116" t="inlineStr">
        <is>
          <t>not_invited</t>
        </is>
      </c>
    </row>
    <row r="2117">
      <c r="A2117" t="inlineStr">
        <is>
          <t>CL002116</t>
        </is>
      </c>
      <c r="B2117" t="inlineStr">
        <is>
          <t>not_invited</t>
        </is>
      </c>
    </row>
    <row r="2118">
      <c r="A2118" t="inlineStr">
        <is>
          <t>CL002117</t>
        </is>
      </c>
      <c r="B2118" t="inlineStr">
        <is>
          <t>not_invited</t>
        </is>
      </c>
    </row>
    <row r="2119">
      <c r="A2119" t="inlineStr">
        <is>
          <t>CL002118</t>
        </is>
      </c>
      <c r="B2119" t="inlineStr">
        <is>
          <t>not_invited</t>
        </is>
      </c>
    </row>
    <row r="2120">
      <c r="A2120" t="inlineStr">
        <is>
          <t>CL002119</t>
        </is>
      </c>
      <c r="B2120" t="inlineStr">
        <is>
          <t>not_invited</t>
        </is>
      </c>
    </row>
    <row r="2121">
      <c r="A2121" t="inlineStr">
        <is>
          <t>CL002120</t>
        </is>
      </c>
      <c r="B2121" t="inlineStr">
        <is>
          <t>not_invited</t>
        </is>
      </c>
    </row>
    <row r="2122">
      <c r="A2122" t="inlineStr">
        <is>
          <t>CL002121</t>
        </is>
      </c>
      <c r="B2122" t="inlineStr">
        <is>
          <t>not_invited</t>
        </is>
      </c>
    </row>
    <row r="2123">
      <c r="A2123" t="inlineStr">
        <is>
          <t>CL002122</t>
        </is>
      </c>
      <c r="B2123" t="inlineStr">
        <is>
          <t>not_invited</t>
        </is>
      </c>
    </row>
    <row r="2124">
      <c r="A2124" t="inlineStr">
        <is>
          <t>CL002123</t>
        </is>
      </c>
      <c r="B2124" t="inlineStr">
        <is>
          <t>not_invited</t>
        </is>
      </c>
    </row>
    <row r="2125">
      <c r="A2125" t="inlineStr">
        <is>
          <t>CL002124</t>
        </is>
      </c>
      <c r="B2125" t="inlineStr">
        <is>
          <t>not_invited</t>
        </is>
      </c>
    </row>
    <row r="2126">
      <c r="A2126" t="inlineStr">
        <is>
          <t>CL002125</t>
        </is>
      </c>
      <c r="B2126" t="inlineStr">
        <is>
          <t>not_invited</t>
        </is>
      </c>
    </row>
    <row r="2127">
      <c r="A2127" t="inlineStr">
        <is>
          <t>CL002126</t>
        </is>
      </c>
      <c r="B2127" t="inlineStr">
        <is>
          <t>not_invited</t>
        </is>
      </c>
    </row>
    <row r="2128">
      <c r="A2128" t="inlineStr">
        <is>
          <t>CL002127</t>
        </is>
      </c>
      <c r="B2128" t="inlineStr">
        <is>
          <t>not_invited</t>
        </is>
      </c>
    </row>
    <row r="2129">
      <c r="A2129" t="inlineStr">
        <is>
          <t>CL002128</t>
        </is>
      </c>
      <c r="B2129" t="inlineStr">
        <is>
          <t>responded</t>
        </is>
      </c>
      <c r="C2129" t="n">
        <v>0</v>
      </c>
      <c r="D2129" t="n">
        <v>0</v>
      </c>
      <c r="E2129" t="n">
        <v>35.29038396266813</v>
      </c>
    </row>
    <row r="2130">
      <c r="A2130" t="inlineStr">
        <is>
          <t>CL002129</t>
        </is>
      </c>
      <c r="B2130" t="inlineStr">
        <is>
          <t>not_invited</t>
        </is>
      </c>
    </row>
    <row r="2131">
      <c r="A2131" t="inlineStr">
        <is>
          <t>CL002130</t>
        </is>
      </c>
      <c r="B2131" t="inlineStr">
        <is>
          <t>not_invited</t>
        </is>
      </c>
    </row>
    <row r="2132">
      <c r="A2132" t="inlineStr">
        <is>
          <t>CL002131</t>
        </is>
      </c>
      <c r="B2132" t="inlineStr">
        <is>
          <t>not_invited</t>
        </is>
      </c>
    </row>
    <row r="2133">
      <c r="A2133" t="inlineStr">
        <is>
          <t>CL002132</t>
        </is>
      </c>
      <c r="B2133" t="inlineStr">
        <is>
          <t>not_invited</t>
        </is>
      </c>
    </row>
    <row r="2134">
      <c r="A2134" t="inlineStr">
        <is>
          <t>CL002133</t>
        </is>
      </c>
      <c r="B2134" t="inlineStr">
        <is>
          <t>not_invited</t>
        </is>
      </c>
    </row>
    <row r="2135">
      <c r="A2135" t="inlineStr">
        <is>
          <t>CL002134</t>
        </is>
      </c>
      <c r="B2135" t="inlineStr">
        <is>
          <t>not_invited</t>
        </is>
      </c>
    </row>
    <row r="2136">
      <c r="A2136" t="inlineStr">
        <is>
          <t>CL002135</t>
        </is>
      </c>
      <c r="B2136" t="inlineStr">
        <is>
          <t>responded</t>
        </is>
      </c>
      <c r="C2136" t="n">
        <v>1</v>
      </c>
      <c r="D2136" t="n">
        <v>1</v>
      </c>
      <c r="E2136" t="n">
        <v>63.24711745155093</v>
      </c>
    </row>
    <row r="2137">
      <c r="A2137" t="inlineStr">
        <is>
          <t>CL002136</t>
        </is>
      </c>
      <c r="B2137" t="inlineStr">
        <is>
          <t>not_invited</t>
        </is>
      </c>
    </row>
    <row r="2138">
      <c r="A2138" t="inlineStr">
        <is>
          <t>CL002137</t>
        </is>
      </c>
      <c r="B2138" t="inlineStr">
        <is>
          <t>not_invited</t>
        </is>
      </c>
    </row>
    <row r="2139">
      <c r="A2139" t="inlineStr">
        <is>
          <t>CL002138</t>
        </is>
      </c>
      <c r="B2139" t="inlineStr">
        <is>
          <t>not_invited</t>
        </is>
      </c>
    </row>
    <row r="2140">
      <c r="A2140" t="inlineStr">
        <is>
          <t>CL002139</t>
        </is>
      </c>
      <c r="B2140" t="inlineStr">
        <is>
          <t>not_invited</t>
        </is>
      </c>
    </row>
    <row r="2141">
      <c r="A2141" t="inlineStr">
        <is>
          <t>CL002140</t>
        </is>
      </c>
      <c r="B2141" t="inlineStr">
        <is>
          <t>not_invited</t>
        </is>
      </c>
    </row>
    <row r="2142">
      <c r="A2142" t="inlineStr">
        <is>
          <t>CL002141</t>
        </is>
      </c>
      <c r="B2142" t="inlineStr">
        <is>
          <t>not_invited</t>
        </is>
      </c>
    </row>
    <row r="2143">
      <c r="A2143" t="inlineStr">
        <is>
          <t>CL002142</t>
        </is>
      </c>
      <c r="B2143" t="inlineStr">
        <is>
          <t>not_invited</t>
        </is>
      </c>
    </row>
    <row r="2144">
      <c r="A2144" t="inlineStr">
        <is>
          <t>CL002143</t>
        </is>
      </c>
      <c r="B2144" t="inlineStr">
        <is>
          <t>not_invited</t>
        </is>
      </c>
    </row>
    <row r="2145">
      <c r="A2145" t="inlineStr">
        <is>
          <t>CL002144</t>
        </is>
      </c>
      <c r="B2145" t="inlineStr">
        <is>
          <t>not_invited</t>
        </is>
      </c>
    </row>
    <row r="2146">
      <c r="A2146" t="inlineStr">
        <is>
          <t>CL002145</t>
        </is>
      </c>
      <c r="B2146" t="inlineStr">
        <is>
          <t>responded</t>
        </is>
      </c>
      <c r="C2146" t="n">
        <v>0</v>
      </c>
      <c r="D2146" t="n">
        <v>0</v>
      </c>
      <c r="E2146" t="n">
        <v>35.29038396266813</v>
      </c>
    </row>
    <row r="2147">
      <c r="A2147" t="inlineStr">
        <is>
          <t>CL002146</t>
        </is>
      </c>
      <c r="B2147" t="inlineStr">
        <is>
          <t>not_invited</t>
        </is>
      </c>
    </row>
    <row r="2148">
      <c r="A2148" t="inlineStr">
        <is>
          <t>CL002147</t>
        </is>
      </c>
      <c r="B2148" t="inlineStr">
        <is>
          <t>not_invited</t>
        </is>
      </c>
    </row>
    <row r="2149">
      <c r="A2149" t="inlineStr">
        <is>
          <t>CL002148</t>
        </is>
      </c>
      <c r="B2149" t="inlineStr">
        <is>
          <t>not_invited</t>
        </is>
      </c>
    </row>
    <row r="2150">
      <c r="A2150" t="inlineStr">
        <is>
          <t>CL002149</t>
        </is>
      </c>
      <c r="B2150" t="inlineStr">
        <is>
          <t>responded</t>
        </is>
      </c>
      <c r="C2150" t="n">
        <v>0</v>
      </c>
      <c r="D2150" t="n">
        <v>0</v>
      </c>
      <c r="E2150" t="n">
        <v>35.29038396266813</v>
      </c>
    </row>
    <row r="2151">
      <c r="A2151" t="inlineStr">
        <is>
          <t>CL002150</t>
        </is>
      </c>
      <c r="B2151" t="inlineStr">
        <is>
          <t>not_invited</t>
        </is>
      </c>
    </row>
    <row r="2152">
      <c r="A2152" t="inlineStr">
        <is>
          <t>CL002151</t>
        </is>
      </c>
      <c r="B2152" t="inlineStr">
        <is>
          <t>not_invited</t>
        </is>
      </c>
    </row>
    <row r="2153">
      <c r="A2153" t="inlineStr">
        <is>
          <t>CL002152</t>
        </is>
      </c>
      <c r="B2153" t="inlineStr">
        <is>
          <t>not_invited</t>
        </is>
      </c>
    </row>
    <row r="2154">
      <c r="A2154" t="inlineStr">
        <is>
          <t>CL002153</t>
        </is>
      </c>
      <c r="B2154" t="inlineStr">
        <is>
          <t>not_invited</t>
        </is>
      </c>
    </row>
    <row r="2155">
      <c r="A2155" t="inlineStr">
        <is>
          <t>CL002154</t>
        </is>
      </c>
      <c r="B2155" t="inlineStr">
        <is>
          <t>not_invited</t>
        </is>
      </c>
    </row>
    <row r="2156">
      <c r="A2156" t="inlineStr">
        <is>
          <t>CL002155</t>
        </is>
      </c>
      <c r="B2156" t="inlineStr">
        <is>
          <t>not_invited</t>
        </is>
      </c>
    </row>
    <row r="2157">
      <c r="A2157" t="inlineStr">
        <is>
          <t>CL002156</t>
        </is>
      </c>
      <c r="B2157" t="inlineStr">
        <is>
          <t>responded</t>
        </is>
      </c>
      <c r="C2157" t="n">
        <v>1</v>
      </c>
      <c r="D2157" t="n">
        <v>1</v>
      </c>
      <c r="E2157" t="n">
        <v>63.24711745155093</v>
      </c>
    </row>
    <row r="2158">
      <c r="A2158" t="inlineStr">
        <is>
          <t>CL002157</t>
        </is>
      </c>
      <c r="B2158" t="inlineStr">
        <is>
          <t>not_invited</t>
        </is>
      </c>
    </row>
    <row r="2159">
      <c r="A2159" t="inlineStr">
        <is>
          <t>CL002158</t>
        </is>
      </c>
      <c r="B2159" t="inlineStr">
        <is>
          <t>not_invited</t>
        </is>
      </c>
    </row>
    <row r="2160">
      <c r="A2160" t="inlineStr">
        <is>
          <t>CL002159</t>
        </is>
      </c>
      <c r="B2160" t="inlineStr">
        <is>
          <t>not_invited</t>
        </is>
      </c>
    </row>
    <row r="2161">
      <c r="A2161" t="inlineStr">
        <is>
          <t>CL002160</t>
        </is>
      </c>
      <c r="B2161" t="inlineStr">
        <is>
          <t>not_invited</t>
        </is>
      </c>
    </row>
    <row r="2162">
      <c r="A2162" t="inlineStr">
        <is>
          <t>CL002161</t>
        </is>
      </c>
      <c r="B2162" t="inlineStr">
        <is>
          <t>not_invited</t>
        </is>
      </c>
    </row>
    <row r="2163">
      <c r="A2163" t="inlineStr">
        <is>
          <t>CL002162</t>
        </is>
      </c>
      <c r="B2163" t="inlineStr">
        <is>
          <t>not_invited</t>
        </is>
      </c>
    </row>
    <row r="2164">
      <c r="A2164" t="inlineStr">
        <is>
          <t>CL002163</t>
        </is>
      </c>
      <c r="B2164" t="inlineStr">
        <is>
          <t>not_invited</t>
        </is>
      </c>
    </row>
    <row r="2165">
      <c r="A2165" t="inlineStr">
        <is>
          <t>CL002164</t>
        </is>
      </c>
      <c r="B2165" t="inlineStr">
        <is>
          <t>not_invited</t>
        </is>
      </c>
    </row>
    <row r="2166">
      <c r="A2166" t="inlineStr">
        <is>
          <t>CL002165</t>
        </is>
      </c>
      <c r="B2166" t="inlineStr">
        <is>
          <t>not_invited</t>
        </is>
      </c>
    </row>
    <row r="2167">
      <c r="A2167" t="inlineStr">
        <is>
          <t>CL002166</t>
        </is>
      </c>
      <c r="B2167" t="inlineStr">
        <is>
          <t>not_invited</t>
        </is>
      </c>
    </row>
    <row r="2168">
      <c r="A2168" t="inlineStr">
        <is>
          <t>CL002167</t>
        </is>
      </c>
      <c r="B2168" t="inlineStr">
        <is>
          <t>not_invited</t>
        </is>
      </c>
    </row>
    <row r="2169">
      <c r="A2169" t="inlineStr">
        <is>
          <t>CL002168</t>
        </is>
      </c>
      <c r="B2169" t="inlineStr">
        <is>
          <t>not_invited</t>
        </is>
      </c>
    </row>
    <row r="2170">
      <c r="A2170" t="inlineStr">
        <is>
          <t>CL002169</t>
        </is>
      </c>
      <c r="B2170" t="inlineStr">
        <is>
          <t>not_invited</t>
        </is>
      </c>
    </row>
    <row r="2171">
      <c r="A2171" t="inlineStr">
        <is>
          <t>CL002170</t>
        </is>
      </c>
      <c r="B2171" t="inlineStr">
        <is>
          <t>not_invited</t>
        </is>
      </c>
    </row>
    <row r="2172">
      <c r="A2172" t="inlineStr">
        <is>
          <t>CL002171</t>
        </is>
      </c>
      <c r="B2172" t="inlineStr">
        <is>
          <t>not_invited</t>
        </is>
      </c>
    </row>
    <row r="2173">
      <c r="A2173" t="inlineStr">
        <is>
          <t>CL002172</t>
        </is>
      </c>
      <c r="B2173" t="inlineStr">
        <is>
          <t>not_invited</t>
        </is>
      </c>
    </row>
    <row r="2174">
      <c r="A2174" t="inlineStr">
        <is>
          <t>CL002173</t>
        </is>
      </c>
      <c r="B2174" t="inlineStr">
        <is>
          <t>not_invited</t>
        </is>
      </c>
    </row>
    <row r="2175">
      <c r="A2175" t="inlineStr">
        <is>
          <t>CL002174</t>
        </is>
      </c>
      <c r="B2175" t="inlineStr">
        <is>
          <t>responded</t>
        </is>
      </c>
      <c r="C2175" t="n">
        <v>0</v>
      </c>
      <c r="D2175" t="n">
        <v>0</v>
      </c>
      <c r="E2175" t="n">
        <v>35.29038396266813</v>
      </c>
    </row>
    <row r="2176">
      <c r="A2176" t="inlineStr">
        <is>
          <t>CL002175</t>
        </is>
      </c>
      <c r="B2176" t="inlineStr">
        <is>
          <t>not_invited</t>
        </is>
      </c>
    </row>
    <row r="2177">
      <c r="A2177" t="inlineStr">
        <is>
          <t>CL002176</t>
        </is>
      </c>
      <c r="B2177" t="inlineStr">
        <is>
          <t>not_invited</t>
        </is>
      </c>
    </row>
    <row r="2178">
      <c r="A2178" t="inlineStr">
        <is>
          <t>CL002177</t>
        </is>
      </c>
      <c r="B2178" t="inlineStr">
        <is>
          <t>not_invited</t>
        </is>
      </c>
    </row>
    <row r="2179">
      <c r="A2179" t="inlineStr">
        <is>
          <t>CL002178</t>
        </is>
      </c>
      <c r="B2179" t="inlineStr">
        <is>
          <t>not_invited</t>
        </is>
      </c>
    </row>
    <row r="2180">
      <c r="A2180" t="inlineStr">
        <is>
          <t>CL002179</t>
        </is>
      </c>
      <c r="B2180" t="inlineStr">
        <is>
          <t>not_invited</t>
        </is>
      </c>
    </row>
    <row r="2181">
      <c r="A2181" t="inlineStr">
        <is>
          <t>CL002180</t>
        </is>
      </c>
      <c r="B2181" t="inlineStr">
        <is>
          <t>not_invited</t>
        </is>
      </c>
    </row>
    <row r="2182">
      <c r="A2182" t="inlineStr">
        <is>
          <t>CL002181</t>
        </is>
      </c>
      <c r="B2182" t="inlineStr">
        <is>
          <t>not_invited</t>
        </is>
      </c>
    </row>
    <row r="2183">
      <c r="A2183" t="inlineStr">
        <is>
          <t>CL002182</t>
        </is>
      </c>
      <c r="B2183" t="inlineStr">
        <is>
          <t>not_invited</t>
        </is>
      </c>
    </row>
    <row r="2184">
      <c r="A2184" t="inlineStr">
        <is>
          <t>CL002183</t>
        </is>
      </c>
      <c r="B2184" t="inlineStr">
        <is>
          <t>not_invited</t>
        </is>
      </c>
    </row>
    <row r="2185">
      <c r="A2185" t="inlineStr">
        <is>
          <t>CL002184</t>
        </is>
      </c>
      <c r="B2185" t="inlineStr">
        <is>
          <t>not_invited</t>
        </is>
      </c>
    </row>
    <row r="2186">
      <c r="A2186" t="inlineStr">
        <is>
          <t>CL002185</t>
        </is>
      </c>
      <c r="B2186" t="inlineStr">
        <is>
          <t>not_invited</t>
        </is>
      </c>
    </row>
    <row r="2187">
      <c r="A2187" t="inlineStr">
        <is>
          <t>CL002186</t>
        </is>
      </c>
      <c r="B2187" t="inlineStr">
        <is>
          <t>not_invited</t>
        </is>
      </c>
    </row>
    <row r="2188">
      <c r="A2188" t="inlineStr">
        <is>
          <t>CL002187</t>
        </is>
      </c>
      <c r="B2188" t="inlineStr">
        <is>
          <t>not_invited</t>
        </is>
      </c>
    </row>
    <row r="2189">
      <c r="A2189" t="inlineStr">
        <is>
          <t>CL002188</t>
        </is>
      </c>
      <c r="B2189" t="inlineStr">
        <is>
          <t>not_invited</t>
        </is>
      </c>
    </row>
    <row r="2190">
      <c r="A2190" t="inlineStr">
        <is>
          <t>CL002189</t>
        </is>
      </c>
      <c r="B2190" t="inlineStr">
        <is>
          <t>not_invited</t>
        </is>
      </c>
    </row>
    <row r="2191">
      <c r="A2191" t="inlineStr">
        <is>
          <t>CL002190</t>
        </is>
      </c>
      <c r="B2191" t="inlineStr">
        <is>
          <t>not_invited</t>
        </is>
      </c>
    </row>
    <row r="2192">
      <c r="A2192" t="inlineStr">
        <is>
          <t>CL002191</t>
        </is>
      </c>
      <c r="B2192" t="inlineStr">
        <is>
          <t>not_invited</t>
        </is>
      </c>
    </row>
    <row r="2193">
      <c r="A2193" t="inlineStr">
        <is>
          <t>CL002192</t>
        </is>
      </c>
      <c r="B2193" t="inlineStr">
        <is>
          <t>not_invited</t>
        </is>
      </c>
    </row>
    <row r="2194">
      <c r="A2194" t="inlineStr">
        <is>
          <t>CL002193</t>
        </is>
      </c>
      <c r="B2194" t="inlineStr">
        <is>
          <t>nonresponse</t>
        </is>
      </c>
    </row>
    <row r="2195">
      <c r="A2195" t="inlineStr">
        <is>
          <t>CL002194</t>
        </is>
      </c>
      <c r="B2195" t="inlineStr">
        <is>
          <t>not_invited</t>
        </is>
      </c>
    </row>
    <row r="2196">
      <c r="A2196" t="inlineStr">
        <is>
          <t>CL002195</t>
        </is>
      </c>
      <c r="B2196" t="inlineStr">
        <is>
          <t>not_invited</t>
        </is>
      </c>
    </row>
    <row r="2197">
      <c r="A2197" t="inlineStr">
        <is>
          <t>CL002196</t>
        </is>
      </c>
      <c r="B2197" t="inlineStr">
        <is>
          <t>not_invited</t>
        </is>
      </c>
    </row>
    <row r="2198">
      <c r="A2198" t="inlineStr">
        <is>
          <t>CL002197</t>
        </is>
      </c>
      <c r="B2198" t="inlineStr">
        <is>
          <t>not_invited</t>
        </is>
      </c>
    </row>
    <row r="2199">
      <c r="A2199" t="inlineStr">
        <is>
          <t>CL002198</t>
        </is>
      </c>
      <c r="B2199" t="inlineStr">
        <is>
          <t>not_invited</t>
        </is>
      </c>
    </row>
    <row r="2200">
      <c r="A2200" t="inlineStr">
        <is>
          <t>CL002199</t>
        </is>
      </c>
      <c r="B2200" t="inlineStr">
        <is>
          <t>not_invited</t>
        </is>
      </c>
    </row>
    <row r="2201">
      <c r="A2201" t="inlineStr">
        <is>
          <t>CL002200</t>
        </is>
      </c>
      <c r="B2201" t="inlineStr">
        <is>
          <t>not_invited</t>
        </is>
      </c>
    </row>
    <row r="2202">
      <c r="A2202" t="inlineStr">
        <is>
          <t>CL002201</t>
        </is>
      </c>
      <c r="B2202" t="inlineStr">
        <is>
          <t>not_invited</t>
        </is>
      </c>
    </row>
    <row r="2203">
      <c r="A2203" t="inlineStr">
        <is>
          <t>CL002202</t>
        </is>
      </c>
      <c r="B2203" t="inlineStr">
        <is>
          <t>not_invited</t>
        </is>
      </c>
    </row>
    <row r="2204">
      <c r="A2204" t="inlineStr">
        <is>
          <t>CL002203</t>
        </is>
      </c>
      <c r="B2204" t="inlineStr">
        <is>
          <t>not_invited</t>
        </is>
      </c>
    </row>
    <row r="2205">
      <c r="A2205" t="inlineStr">
        <is>
          <t>CL002204</t>
        </is>
      </c>
      <c r="B2205" t="inlineStr">
        <is>
          <t>not_invited</t>
        </is>
      </c>
    </row>
    <row r="2206">
      <c r="A2206" t="inlineStr">
        <is>
          <t>CL002205</t>
        </is>
      </c>
      <c r="B2206" t="inlineStr">
        <is>
          <t>not_invited</t>
        </is>
      </c>
    </row>
    <row r="2207">
      <c r="A2207" t="inlineStr">
        <is>
          <t>CL002206</t>
        </is>
      </c>
      <c r="B2207" t="inlineStr">
        <is>
          <t>not_invited</t>
        </is>
      </c>
    </row>
    <row r="2208">
      <c r="A2208" t="inlineStr">
        <is>
          <t>CL002207</t>
        </is>
      </c>
      <c r="B2208" t="inlineStr">
        <is>
          <t>not_invited</t>
        </is>
      </c>
    </row>
    <row r="2209">
      <c r="A2209" t="inlineStr">
        <is>
          <t>CL002208</t>
        </is>
      </c>
      <c r="B2209" t="inlineStr">
        <is>
          <t>not_invited</t>
        </is>
      </c>
    </row>
    <row r="2210">
      <c r="A2210" t="inlineStr">
        <is>
          <t>CL002209</t>
        </is>
      </c>
      <c r="B2210" t="inlineStr">
        <is>
          <t>not_invited</t>
        </is>
      </c>
    </row>
    <row r="2211">
      <c r="A2211" t="inlineStr">
        <is>
          <t>CL002210</t>
        </is>
      </c>
      <c r="B2211" t="inlineStr">
        <is>
          <t>not_invited</t>
        </is>
      </c>
    </row>
    <row r="2212">
      <c r="A2212" t="inlineStr">
        <is>
          <t>CL002211</t>
        </is>
      </c>
      <c r="B2212" t="inlineStr">
        <is>
          <t>not_invited</t>
        </is>
      </c>
    </row>
    <row r="2213">
      <c r="A2213" t="inlineStr">
        <is>
          <t>CL002212</t>
        </is>
      </c>
      <c r="B2213" t="inlineStr">
        <is>
          <t>not_invited</t>
        </is>
      </c>
    </row>
    <row r="2214">
      <c r="A2214" t="inlineStr">
        <is>
          <t>CL002213</t>
        </is>
      </c>
      <c r="B2214" t="inlineStr">
        <is>
          <t>not_invited</t>
        </is>
      </c>
    </row>
    <row r="2215">
      <c r="A2215" t="inlineStr">
        <is>
          <t>CL002214</t>
        </is>
      </c>
      <c r="B2215" t="inlineStr">
        <is>
          <t>not_invited</t>
        </is>
      </c>
    </row>
    <row r="2216">
      <c r="A2216" t="inlineStr">
        <is>
          <t>CL002215</t>
        </is>
      </c>
      <c r="B2216" t="inlineStr">
        <is>
          <t>not_invited</t>
        </is>
      </c>
    </row>
    <row r="2217">
      <c r="A2217" t="inlineStr">
        <is>
          <t>CL002216</t>
        </is>
      </c>
      <c r="B2217" t="inlineStr">
        <is>
          <t>not_invited</t>
        </is>
      </c>
    </row>
    <row r="2218">
      <c r="A2218" t="inlineStr">
        <is>
          <t>CL002217</t>
        </is>
      </c>
      <c r="B2218" t="inlineStr">
        <is>
          <t>not_invited</t>
        </is>
      </c>
    </row>
    <row r="2219">
      <c r="A2219" t="inlineStr">
        <is>
          <t>CL002218</t>
        </is>
      </c>
      <c r="B2219" t="inlineStr">
        <is>
          <t>not_invited</t>
        </is>
      </c>
    </row>
    <row r="2220">
      <c r="A2220" t="inlineStr">
        <is>
          <t>CL002219</t>
        </is>
      </c>
      <c r="B2220" t="inlineStr">
        <is>
          <t>not_invited</t>
        </is>
      </c>
    </row>
    <row r="2221">
      <c r="A2221" t="inlineStr">
        <is>
          <t>CL002220</t>
        </is>
      </c>
      <c r="B2221" t="inlineStr">
        <is>
          <t>not_invited</t>
        </is>
      </c>
    </row>
    <row r="2222">
      <c r="A2222" t="inlineStr">
        <is>
          <t>CL002221</t>
        </is>
      </c>
      <c r="B2222" t="inlineStr">
        <is>
          <t>nonresponse</t>
        </is>
      </c>
    </row>
    <row r="2223">
      <c r="A2223" t="inlineStr">
        <is>
          <t>CL002222</t>
        </is>
      </c>
      <c r="B2223" t="inlineStr">
        <is>
          <t>not_invited</t>
        </is>
      </c>
    </row>
    <row r="2224">
      <c r="A2224" t="inlineStr">
        <is>
          <t>CL002223</t>
        </is>
      </c>
      <c r="B2224" t="inlineStr">
        <is>
          <t>not_invited</t>
        </is>
      </c>
    </row>
    <row r="2225">
      <c r="A2225" t="inlineStr">
        <is>
          <t>CL002224</t>
        </is>
      </c>
      <c r="B2225" t="inlineStr">
        <is>
          <t>not_invited</t>
        </is>
      </c>
    </row>
    <row r="2226">
      <c r="A2226" t="inlineStr">
        <is>
          <t>CL002225</t>
        </is>
      </c>
      <c r="B2226" t="inlineStr">
        <is>
          <t>not_invited</t>
        </is>
      </c>
    </row>
    <row r="2227">
      <c r="A2227" t="inlineStr">
        <is>
          <t>CL002226</t>
        </is>
      </c>
      <c r="B2227" t="inlineStr">
        <is>
          <t>not_invited</t>
        </is>
      </c>
    </row>
    <row r="2228">
      <c r="A2228" t="inlineStr">
        <is>
          <t>CL002227</t>
        </is>
      </c>
      <c r="B2228" t="inlineStr">
        <is>
          <t>not_invited</t>
        </is>
      </c>
    </row>
    <row r="2229">
      <c r="A2229" t="inlineStr">
        <is>
          <t>CL002228</t>
        </is>
      </c>
      <c r="B2229" t="inlineStr">
        <is>
          <t>not_invited</t>
        </is>
      </c>
    </row>
    <row r="2230">
      <c r="A2230" t="inlineStr">
        <is>
          <t>CL002229</t>
        </is>
      </c>
      <c r="B2230" t="inlineStr">
        <is>
          <t>not_invited</t>
        </is>
      </c>
    </row>
    <row r="2231">
      <c r="A2231" t="inlineStr">
        <is>
          <t>CL002230</t>
        </is>
      </c>
      <c r="B2231" t="inlineStr">
        <is>
          <t>not_invited</t>
        </is>
      </c>
    </row>
    <row r="2232">
      <c r="A2232" t="inlineStr">
        <is>
          <t>CL002231</t>
        </is>
      </c>
      <c r="B2232" t="inlineStr">
        <is>
          <t>not_invited</t>
        </is>
      </c>
    </row>
    <row r="2233">
      <c r="A2233" t="inlineStr">
        <is>
          <t>CL002232</t>
        </is>
      </c>
      <c r="B2233" t="inlineStr">
        <is>
          <t>not_invited</t>
        </is>
      </c>
    </row>
    <row r="2234">
      <c r="A2234" t="inlineStr">
        <is>
          <t>CL002233</t>
        </is>
      </c>
      <c r="B2234" t="inlineStr">
        <is>
          <t>not_invited</t>
        </is>
      </c>
    </row>
    <row r="2235">
      <c r="A2235" t="inlineStr">
        <is>
          <t>CL002234</t>
        </is>
      </c>
      <c r="B2235" t="inlineStr">
        <is>
          <t>not_invited</t>
        </is>
      </c>
    </row>
    <row r="2236">
      <c r="A2236" t="inlineStr">
        <is>
          <t>CL002235</t>
        </is>
      </c>
      <c r="B2236" t="inlineStr">
        <is>
          <t>not_invited</t>
        </is>
      </c>
    </row>
    <row r="2237">
      <c r="A2237" t="inlineStr">
        <is>
          <t>CL002236</t>
        </is>
      </c>
      <c r="B2237" t="inlineStr">
        <is>
          <t>not_invited</t>
        </is>
      </c>
    </row>
    <row r="2238">
      <c r="A2238" t="inlineStr">
        <is>
          <t>CL002237</t>
        </is>
      </c>
      <c r="B2238" t="inlineStr">
        <is>
          <t>not_invited</t>
        </is>
      </c>
    </row>
    <row r="2239">
      <c r="A2239" t="inlineStr">
        <is>
          <t>CL002238</t>
        </is>
      </c>
      <c r="B2239" t="inlineStr">
        <is>
          <t>not_invited</t>
        </is>
      </c>
    </row>
    <row r="2240">
      <c r="A2240" t="inlineStr">
        <is>
          <t>CL002239</t>
        </is>
      </c>
      <c r="B2240" t="inlineStr">
        <is>
          <t>not_invited</t>
        </is>
      </c>
    </row>
    <row r="2241">
      <c r="A2241" t="inlineStr">
        <is>
          <t>CL002240</t>
        </is>
      </c>
      <c r="B2241" t="inlineStr">
        <is>
          <t>not_invited</t>
        </is>
      </c>
    </row>
    <row r="2242">
      <c r="A2242" t="inlineStr">
        <is>
          <t>CL002241</t>
        </is>
      </c>
      <c r="B2242" t="inlineStr">
        <is>
          <t>not_invited</t>
        </is>
      </c>
    </row>
    <row r="2243">
      <c r="A2243" t="inlineStr">
        <is>
          <t>CL002242</t>
        </is>
      </c>
      <c r="B2243" t="inlineStr">
        <is>
          <t>not_invited</t>
        </is>
      </c>
    </row>
    <row r="2244">
      <c r="A2244" t="inlineStr">
        <is>
          <t>CL002243</t>
        </is>
      </c>
      <c r="B2244" t="inlineStr">
        <is>
          <t>not_invited</t>
        </is>
      </c>
    </row>
    <row r="2245">
      <c r="A2245" t="inlineStr">
        <is>
          <t>CL002244</t>
        </is>
      </c>
      <c r="B2245" t="inlineStr">
        <is>
          <t>not_invited</t>
        </is>
      </c>
    </row>
    <row r="2246">
      <c r="A2246" t="inlineStr">
        <is>
          <t>CL002245</t>
        </is>
      </c>
      <c r="B2246" t="inlineStr">
        <is>
          <t>not_invited</t>
        </is>
      </c>
    </row>
    <row r="2247">
      <c r="A2247" t="inlineStr">
        <is>
          <t>CL002246</t>
        </is>
      </c>
      <c r="B2247" t="inlineStr">
        <is>
          <t>not_invited</t>
        </is>
      </c>
    </row>
    <row r="2248">
      <c r="A2248" t="inlineStr">
        <is>
          <t>CL002247</t>
        </is>
      </c>
      <c r="B2248" t="inlineStr">
        <is>
          <t>not_invited</t>
        </is>
      </c>
    </row>
    <row r="2249">
      <c r="A2249" t="inlineStr">
        <is>
          <t>CL002248</t>
        </is>
      </c>
      <c r="B2249" t="inlineStr">
        <is>
          <t>not_invited</t>
        </is>
      </c>
    </row>
    <row r="2250">
      <c r="A2250" t="inlineStr">
        <is>
          <t>CL002249</t>
        </is>
      </c>
      <c r="B2250" t="inlineStr">
        <is>
          <t>not_invited</t>
        </is>
      </c>
    </row>
    <row r="2251">
      <c r="A2251" t="inlineStr">
        <is>
          <t>CL002250</t>
        </is>
      </c>
      <c r="B2251" t="inlineStr">
        <is>
          <t>not_invited</t>
        </is>
      </c>
    </row>
    <row r="2252">
      <c r="A2252" t="inlineStr">
        <is>
          <t>CL002251</t>
        </is>
      </c>
      <c r="B2252" t="inlineStr">
        <is>
          <t>not_invited</t>
        </is>
      </c>
    </row>
    <row r="2253">
      <c r="A2253" t="inlineStr">
        <is>
          <t>CL002252</t>
        </is>
      </c>
      <c r="B2253" t="inlineStr">
        <is>
          <t>not_invited</t>
        </is>
      </c>
    </row>
    <row r="2254">
      <c r="A2254" t="inlineStr">
        <is>
          <t>CL002253</t>
        </is>
      </c>
      <c r="B2254" t="inlineStr">
        <is>
          <t>not_invited</t>
        </is>
      </c>
    </row>
    <row r="2255">
      <c r="A2255" t="inlineStr">
        <is>
          <t>CL002254</t>
        </is>
      </c>
      <c r="B2255" t="inlineStr">
        <is>
          <t>not_invited</t>
        </is>
      </c>
    </row>
    <row r="2256">
      <c r="A2256" t="inlineStr">
        <is>
          <t>CL002255</t>
        </is>
      </c>
      <c r="B2256" t="inlineStr">
        <is>
          <t>not_invited</t>
        </is>
      </c>
    </row>
    <row r="2257">
      <c r="A2257" t="inlineStr">
        <is>
          <t>CL002256</t>
        </is>
      </c>
      <c r="B2257" t="inlineStr">
        <is>
          <t>not_invited</t>
        </is>
      </c>
    </row>
    <row r="2258">
      <c r="A2258" t="inlineStr">
        <is>
          <t>CL002257</t>
        </is>
      </c>
      <c r="B2258" t="inlineStr">
        <is>
          <t>not_invited</t>
        </is>
      </c>
    </row>
    <row r="2259">
      <c r="A2259" t="inlineStr">
        <is>
          <t>CL002258</t>
        </is>
      </c>
      <c r="B2259" t="inlineStr">
        <is>
          <t>not_invited</t>
        </is>
      </c>
    </row>
    <row r="2260">
      <c r="A2260" t="inlineStr">
        <is>
          <t>CL002259</t>
        </is>
      </c>
      <c r="B2260" t="inlineStr">
        <is>
          <t>not_invited</t>
        </is>
      </c>
    </row>
    <row r="2261">
      <c r="A2261" t="inlineStr">
        <is>
          <t>CL002260</t>
        </is>
      </c>
      <c r="B2261" t="inlineStr">
        <is>
          <t>not_invited</t>
        </is>
      </c>
    </row>
    <row r="2262">
      <c r="A2262" t="inlineStr">
        <is>
          <t>CL002261</t>
        </is>
      </c>
      <c r="B2262" t="inlineStr">
        <is>
          <t>not_invited</t>
        </is>
      </c>
    </row>
    <row r="2263">
      <c r="A2263" t="inlineStr">
        <is>
          <t>CL002262</t>
        </is>
      </c>
      <c r="B2263" t="inlineStr">
        <is>
          <t>not_invited</t>
        </is>
      </c>
    </row>
    <row r="2264">
      <c r="A2264" t="inlineStr">
        <is>
          <t>CL002263</t>
        </is>
      </c>
      <c r="B2264" t="inlineStr">
        <is>
          <t>not_invited</t>
        </is>
      </c>
    </row>
    <row r="2265">
      <c r="A2265" t="inlineStr">
        <is>
          <t>CL002264</t>
        </is>
      </c>
      <c r="B2265" t="inlineStr">
        <is>
          <t>not_invited</t>
        </is>
      </c>
    </row>
    <row r="2266">
      <c r="A2266" t="inlineStr">
        <is>
          <t>CL002265</t>
        </is>
      </c>
      <c r="B2266" t="inlineStr">
        <is>
          <t>not_invited</t>
        </is>
      </c>
    </row>
    <row r="2267">
      <c r="A2267" t="inlineStr">
        <is>
          <t>CL002266</t>
        </is>
      </c>
      <c r="B2267" t="inlineStr">
        <is>
          <t>responded</t>
        </is>
      </c>
      <c r="C2267" t="n">
        <v>1</v>
      </c>
      <c r="D2267" t="n">
        <v>1</v>
      </c>
      <c r="E2267" t="n">
        <v>63.24711745155093</v>
      </c>
    </row>
    <row r="2268">
      <c r="A2268" t="inlineStr">
        <is>
          <t>CL002267</t>
        </is>
      </c>
      <c r="B2268" t="inlineStr">
        <is>
          <t>nonresponse</t>
        </is>
      </c>
    </row>
    <row r="2269">
      <c r="A2269" t="inlineStr">
        <is>
          <t>CL002268</t>
        </is>
      </c>
      <c r="B2269" t="inlineStr">
        <is>
          <t>not_invited</t>
        </is>
      </c>
    </row>
    <row r="2270">
      <c r="A2270" t="inlineStr">
        <is>
          <t>CL002269</t>
        </is>
      </c>
      <c r="B2270" t="inlineStr">
        <is>
          <t>not_invited</t>
        </is>
      </c>
    </row>
    <row r="2271">
      <c r="A2271" t="inlineStr">
        <is>
          <t>CL002270</t>
        </is>
      </c>
      <c r="B2271" t="inlineStr">
        <is>
          <t>not_invited</t>
        </is>
      </c>
    </row>
    <row r="2272">
      <c r="A2272" t="inlineStr">
        <is>
          <t>CL002271</t>
        </is>
      </c>
      <c r="B2272" t="inlineStr">
        <is>
          <t>not_invited</t>
        </is>
      </c>
    </row>
    <row r="2273">
      <c r="A2273" t="inlineStr">
        <is>
          <t>CL002272</t>
        </is>
      </c>
      <c r="B2273" t="inlineStr">
        <is>
          <t>not_invited</t>
        </is>
      </c>
    </row>
    <row r="2274">
      <c r="A2274" t="inlineStr">
        <is>
          <t>CL002273</t>
        </is>
      </c>
      <c r="B2274" t="inlineStr">
        <is>
          <t>not_invited</t>
        </is>
      </c>
    </row>
    <row r="2275">
      <c r="A2275" t="inlineStr">
        <is>
          <t>CL002274</t>
        </is>
      </c>
      <c r="B2275" t="inlineStr">
        <is>
          <t>not_invited</t>
        </is>
      </c>
    </row>
    <row r="2276">
      <c r="A2276" t="inlineStr">
        <is>
          <t>CL002275</t>
        </is>
      </c>
      <c r="B2276" t="inlineStr">
        <is>
          <t>not_invited</t>
        </is>
      </c>
    </row>
    <row r="2277">
      <c r="A2277" t="inlineStr">
        <is>
          <t>CL002276</t>
        </is>
      </c>
      <c r="B2277" t="inlineStr">
        <is>
          <t>not_invited</t>
        </is>
      </c>
    </row>
    <row r="2278">
      <c r="A2278" t="inlineStr">
        <is>
          <t>CL002277</t>
        </is>
      </c>
      <c r="B2278" t="inlineStr">
        <is>
          <t>not_invited</t>
        </is>
      </c>
    </row>
    <row r="2279">
      <c r="A2279" t="inlineStr">
        <is>
          <t>CL002278</t>
        </is>
      </c>
      <c r="B2279" t="inlineStr">
        <is>
          <t>not_invited</t>
        </is>
      </c>
    </row>
    <row r="2280">
      <c r="A2280" t="inlineStr">
        <is>
          <t>CL002279</t>
        </is>
      </c>
      <c r="B2280" t="inlineStr">
        <is>
          <t>not_invited</t>
        </is>
      </c>
    </row>
    <row r="2281">
      <c r="A2281" t="inlineStr">
        <is>
          <t>CL002280</t>
        </is>
      </c>
      <c r="B2281" t="inlineStr">
        <is>
          <t>not_invited</t>
        </is>
      </c>
    </row>
    <row r="2282">
      <c r="A2282" t="inlineStr">
        <is>
          <t>CL002281</t>
        </is>
      </c>
      <c r="B2282" t="inlineStr">
        <is>
          <t>not_invited</t>
        </is>
      </c>
    </row>
    <row r="2283">
      <c r="A2283" t="inlineStr">
        <is>
          <t>CL002282</t>
        </is>
      </c>
      <c r="B2283" t="inlineStr">
        <is>
          <t>not_invited</t>
        </is>
      </c>
    </row>
    <row r="2284">
      <c r="A2284" t="inlineStr">
        <is>
          <t>CL002283</t>
        </is>
      </c>
      <c r="B2284" t="inlineStr">
        <is>
          <t>not_invited</t>
        </is>
      </c>
    </row>
    <row r="2285">
      <c r="A2285" t="inlineStr">
        <is>
          <t>CL002284</t>
        </is>
      </c>
      <c r="B2285" t="inlineStr">
        <is>
          <t>not_invited</t>
        </is>
      </c>
    </row>
    <row r="2286">
      <c r="A2286" t="inlineStr">
        <is>
          <t>CL002285</t>
        </is>
      </c>
      <c r="B2286" t="inlineStr">
        <is>
          <t>not_invited</t>
        </is>
      </c>
    </row>
    <row r="2287">
      <c r="A2287" t="inlineStr">
        <is>
          <t>CL002286</t>
        </is>
      </c>
      <c r="B2287" t="inlineStr">
        <is>
          <t>not_invited</t>
        </is>
      </c>
    </row>
    <row r="2288">
      <c r="A2288" t="inlineStr">
        <is>
          <t>CL002287</t>
        </is>
      </c>
      <c r="B2288" t="inlineStr">
        <is>
          <t>not_invited</t>
        </is>
      </c>
    </row>
    <row r="2289">
      <c r="A2289" t="inlineStr">
        <is>
          <t>CL002288</t>
        </is>
      </c>
      <c r="B2289" t="inlineStr">
        <is>
          <t>not_invited</t>
        </is>
      </c>
    </row>
    <row r="2290">
      <c r="A2290" t="inlineStr">
        <is>
          <t>CL002289</t>
        </is>
      </c>
      <c r="B2290" t="inlineStr">
        <is>
          <t>not_invited</t>
        </is>
      </c>
    </row>
    <row r="2291">
      <c r="A2291" t="inlineStr">
        <is>
          <t>CL002290</t>
        </is>
      </c>
      <c r="B2291" t="inlineStr">
        <is>
          <t>not_invited</t>
        </is>
      </c>
    </row>
    <row r="2292">
      <c r="A2292" t="inlineStr">
        <is>
          <t>CL002291</t>
        </is>
      </c>
      <c r="B2292" t="inlineStr">
        <is>
          <t>not_invited</t>
        </is>
      </c>
    </row>
    <row r="2293">
      <c r="A2293" t="inlineStr">
        <is>
          <t>CL002292</t>
        </is>
      </c>
      <c r="B2293" t="inlineStr">
        <is>
          <t>not_invited</t>
        </is>
      </c>
    </row>
    <row r="2294">
      <c r="A2294" t="inlineStr">
        <is>
          <t>CL002293</t>
        </is>
      </c>
      <c r="B2294" t="inlineStr">
        <is>
          <t>not_invited</t>
        </is>
      </c>
    </row>
    <row r="2295">
      <c r="A2295" t="inlineStr">
        <is>
          <t>CL002294</t>
        </is>
      </c>
      <c r="B2295" t="inlineStr">
        <is>
          <t>not_invited</t>
        </is>
      </c>
    </row>
    <row r="2296">
      <c r="A2296" t="inlineStr">
        <is>
          <t>CL002295</t>
        </is>
      </c>
      <c r="B2296" t="inlineStr">
        <is>
          <t>not_invited</t>
        </is>
      </c>
    </row>
    <row r="2297">
      <c r="A2297" t="inlineStr">
        <is>
          <t>CL002296</t>
        </is>
      </c>
      <c r="B2297" t="inlineStr">
        <is>
          <t>not_invited</t>
        </is>
      </c>
    </row>
    <row r="2298">
      <c r="A2298" t="inlineStr">
        <is>
          <t>CL002297</t>
        </is>
      </c>
      <c r="B2298" t="inlineStr">
        <is>
          <t>not_invited</t>
        </is>
      </c>
    </row>
    <row r="2299">
      <c r="A2299" t="inlineStr">
        <is>
          <t>CL002298</t>
        </is>
      </c>
      <c r="B2299" t="inlineStr">
        <is>
          <t>not_invited</t>
        </is>
      </c>
    </row>
    <row r="2300">
      <c r="A2300" t="inlineStr">
        <is>
          <t>CL002299</t>
        </is>
      </c>
      <c r="B2300" t="inlineStr">
        <is>
          <t>not_invited</t>
        </is>
      </c>
    </row>
    <row r="2301">
      <c r="A2301" t="inlineStr">
        <is>
          <t>CL002300</t>
        </is>
      </c>
      <c r="B2301" t="inlineStr">
        <is>
          <t>not_invited</t>
        </is>
      </c>
    </row>
    <row r="2302">
      <c r="A2302" t="inlineStr">
        <is>
          <t>CL002301</t>
        </is>
      </c>
      <c r="B2302" t="inlineStr">
        <is>
          <t>responded</t>
        </is>
      </c>
      <c r="C2302" t="n">
        <v>0</v>
      </c>
      <c r="D2302" t="n">
        <v>0</v>
      </c>
      <c r="E2302" t="n">
        <v>35.29038396266813</v>
      </c>
    </row>
    <row r="2303">
      <c r="A2303" t="inlineStr">
        <is>
          <t>CL002302</t>
        </is>
      </c>
      <c r="B2303" t="inlineStr">
        <is>
          <t>not_invited</t>
        </is>
      </c>
    </row>
    <row r="2304">
      <c r="A2304" t="inlineStr">
        <is>
          <t>CL002303</t>
        </is>
      </c>
      <c r="B2304" t="inlineStr">
        <is>
          <t>not_invited</t>
        </is>
      </c>
    </row>
    <row r="2305">
      <c r="A2305" t="inlineStr">
        <is>
          <t>CL002304</t>
        </is>
      </c>
      <c r="B2305" t="inlineStr">
        <is>
          <t>nonresponse</t>
        </is>
      </c>
    </row>
    <row r="2306">
      <c r="A2306" t="inlineStr">
        <is>
          <t>CL002305</t>
        </is>
      </c>
      <c r="B2306" t="inlineStr">
        <is>
          <t>not_invited</t>
        </is>
      </c>
    </row>
    <row r="2307">
      <c r="A2307" t="inlineStr">
        <is>
          <t>CL002306</t>
        </is>
      </c>
      <c r="B2307" t="inlineStr">
        <is>
          <t>not_invited</t>
        </is>
      </c>
    </row>
    <row r="2308">
      <c r="A2308" t="inlineStr">
        <is>
          <t>CL002307</t>
        </is>
      </c>
      <c r="B2308" t="inlineStr">
        <is>
          <t>not_invited</t>
        </is>
      </c>
    </row>
    <row r="2309">
      <c r="A2309" t="inlineStr">
        <is>
          <t>CL002308</t>
        </is>
      </c>
      <c r="B2309" t="inlineStr">
        <is>
          <t>not_invited</t>
        </is>
      </c>
    </row>
    <row r="2310">
      <c r="A2310" t="inlineStr">
        <is>
          <t>CL002309</t>
        </is>
      </c>
      <c r="B2310" t="inlineStr">
        <is>
          <t>not_invited</t>
        </is>
      </c>
    </row>
    <row r="2311">
      <c r="A2311" t="inlineStr">
        <is>
          <t>CL002310</t>
        </is>
      </c>
      <c r="B2311" t="inlineStr">
        <is>
          <t>not_invited</t>
        </is>
      </c>
    </row>
    <row r="2312">
      <c r="A2312" t="inlineStr">
        <is>
          <t>CL002311</t>
        </is>
      </c>
      <c r="B2312" t="inlineStr">
        <is>
          <t>not_invited</t>
        </is>
      </c>
    </row>
    <row r="2313">
      <c r="A2313" t="inlineStr">
        <is>
          <t>CL002312</t>
        </is>
      </c>
      <c r="B2313" t="inlineStr">
        <is>
          <t>not_invited</t>
        </is>
      </c>
    </row>
    <row r="2314">
      <c r="A2314" t="inlineStr">
        <is>
          <t>CL002313</t>
        </is>
      </c>
      <c r="B2314" t="inlineStr">
        <is>
          <t>not_invited</t>
        </is>
      </c>
    </row>
    <row r="2315">
      <c r="A2315" t="inlineStr">
        <is>
          <t>CL002314</t>
        </is>
      </c>
      <c r="B2315" t="inlineStr">
        <is>
          <t>not_invited</t>
        </is>
      </c>
    </row>
    <row r="2316">
      <c r="A2316" t="inlineStr">
        <is>
          <t>CL002315</t>
        </is>
      </c>
      <c r="B2316" t="inlineStr">
        <is>
          <t>not_invited</t>
        </is>
      </c>
    </row>
    <row r="2317">
      <c r="A2317" t="inlineStr">
        <is>
          <t>CL002316</t>
        </is>
      </c>
      <c r="B2317" t="inlineStr">
        <is>
          <t>not_invited</t>
        </is>
      </c>
    </row>
    <row r="2318">
      <c r="A2318" t="inlineStr">
        <is>
          <t>CL002317</t>
        </is>
      </c>
      <c r="B2318" t="inlineStr">
        <is>
          <t>not_invited</t>
        </is>
      </c>
    </row>
    <row r="2319">
      <c r="A2319" t="inlineStr">
        <is>
          <t>CL002318</t>
        </is>
      </c>
      <c r="B2319" t="inlineStr">
        <is>
          <t>not_invited</t>
        </is>
      </c>
    </row>
    <row r="2320">
      <c r="A2320" t="inlineStr">
        <is>
          <t>CL002319</t>
        </is>
      </c>
      <c r="B2320" t="inlineStr">
        <is>
          <t>not_invited</t>
        </is>
      </c>
    </row>
    <row r="2321">
      <c r="A2321" t="inlineStr">
        <is>
          <t>CL002320</t>
        </is>
      </c>
      <c r="B2321" t="inlineStr">
        <is>
          <t>not_invited</t>
        </is>
      </c>
    </row>
    <row r="2322">
      <c r="A2322" t="inlineStr">
        <is>
          <t>CL002321</t>
        </is>
      </c>
      <c r="B2322" t="inlineStr">
        <is>
          <t>not_invited</t>
        </is>
      </c>
    </row>
    <row r="2323">
      <c r="A2323" t="inlineStr">
        <is>
          <t>CL002322</t>
        </is>
      </c>
      <c r="B2323" t="inlineStr">
        <is>
          <t>not_invited</t>
        </is>
      </c>
    </row>
    <row r="2324">
      <c r="A2324" t="inlineStr">
        <is>
          <t>CL002323</t>
        </is>
      </c>
      <c r="B2324" t="inlineStr">
        <is>
          <t>not_invited</t>
        </is>
      </c>
    </row>
    <row r="2325">
      <c r="A2325" t="inlineStr">
        <is>
          <t>CL002324</t>
        </is>
      </c>
      <c r="B2325" t="inlineStr">
        <is>
          <t>not_invited</t>
        </is>
      </c>
    </row>
    <row r="2326">
      <c r="A2326" t="inlineStr">
        <is>
          <t>CL002325</t>
        </is>
      </c>
      <c r="B2326" t="inlineStr">
        <is>
          <t>not_invited</t>
        </is>
      </c>
    </row>
    <row r="2327">
      <c r="A2327" t="inlineStr">
        <is>
          <t>CL002326</t>
        </is>
      </c>
      <c r="B2327" t="inlineStr">
        <is>
          <t>responded</t>
        </is>
      </c>
      <c r="C2327" t="n">
        <v>0</v>
      </c>
      <c r="D2327" t="n">
        <v>0</v>
      </c>
      <c r="E2327" t="n">
        <v>35.29038396266813</v>
      </c>
    </row>
    <row r="2328">
      <c r="A2328" t="inlineStr">
        <is>
          <t>CL002327</t>
        </is>
      </c>
      <c r="B2328" t="inlineStr">
        <is>
          <t>not_invited</t>
        </is>
      </c>
    </row>
    <row r="2329">
      <c r="A2329" t="inlineStr">
        <is>
          <t>CL002328</t>
        </is>
      </c>
      <c r="B2329" t="inlineStr">
        <is>
          <t>not_invited</t>
        </is>
      </c>
    </row>
    <row r="2330">
      <c r="A2330" t="inlineStr">
        <is>
          <t>CL002329</t>
        </is>
      </c>
      <c r="B2330" t="inlineStr">
        <is>
          <t>not_invited</t>
        </is>
      </c>
    </row>
    <row r="2331">
      <c r="A2331" t="inlineStr">
        <is>
          <t>CL002330</t>
        </is>
      </c>
      <c r="B2331" t="inlineStr">
        <is>
          <t>not_invited</t>
        </is>
      </c>
    </row>
    <row r="2332">
      <c r="A2332" t="inlineStr">
        <is>
          <t>CL002331</t>
        </is>
      </c>
      <c r="B2332" t="inlineStr">
        <is>
          <t>not_invited</t>
        </is>
      </c>
    </row>
    <row r="2333">
      <c r="A2333" t="inlineStr">
        <is>
          <t>CL002332</t>
        </is>
      </c>
      <c r="B2333" t="inlineStr">
        <is>
          <t>not_invited</t>
        </is>
      </c>
    </row>
    <row r="2334">
      <c r="A2334" t="inlineStr">
        <is>
          <t>CL002333</t>
        </is>
      </c>
      <c r="B2334" t="inlineStr">
        <is>
          <t>not_invited</t>
        </is>
      </c>
    </row>
    <row r="2335">
      <c r="A2335" t="inlineStr">
        <is>
          <t>CL002334</t>
        </is>
      </c>
      <c r="B2335" t="inlineStr">
        <is>
          <t>not_invited</t>
        </is>
      </c>
    </row>
    <row r="2336">
      <c r="A2336" t="inlineStr">
        <is>
          <t>CL002335</t>
        </is>
      </c>
      <c r="B2336" t="inlineStr">
        <is>
          <t>not_invited</t>
        </is>
      </c>
    </row>
    <row r="2337">
      <c r="A2337" t="inlineStr">
        <is>
          <t>CL002336</t>
        </is>
      </c>
      <c r="B2337" t="inlineStr">
        <is>
          <t>responded</t>
        </is>
      </c>
      <c r="C2337" t="n">
        <v>0</v>
      </c>
      <c r="D2337" t="n">
        <v>0</v>
      </c>
      <c r="E2337" t="n">
        <v>35.29038396266813</v>
      </c>
    </row>
    <row r="2338">
      <c r="A2338" t="inlineStr">
        <is>
          <t>CL002337</t>
        </is>
      </c>
      <c r="B2338" t="inlineStr">
        <is>
          <t>not_invited</t>
        </is>
      </c>
    </row>
    <row r="2339">
      <c r="A2339" t="inlineStr">
        <is>
          <t>CL002338</t>
        </is>
      </c>
      <c r="B2339" t="inlineStr">
        <is>
          <t>not_invited</t>
        </is>
      </c>
    </row>
    <row r="2340">
      <c r="A2340" t="inlineStr">
        <is>
          <t>CL002339</t>
        </is>
      </c>
      <c r="B2340" t="inlineStr">
        <is>
          <t>not_invited</t>
        </is>
      </c>
    </row>
    <row r="2341">
      <c r="A2341" t="inlineStr">
        <is>
          <t>CL002340</t>
        </is>
      </c>
      <c r="B2341" t="inlineStr">
        <is>
          <t>responded</t>
        </is>
      </c>
      <c r="C2341" t="n">
        <v>0</v>
      </c>
      <c r="D2341" t="n">
        <v>0</v>
      </c>
      <c r="E2341" t="n">
        <v>35.29038396266813</v>
      </c>
    </row>
    <row r="2342">
      <c r="A2342" t="inlineStr">
        <is>
          <t>CL002341</t>
        </is>
      </c>
      <c r="B2342" t="inlineStr">
        <is>
          <t>not_invited</t>
        </is>
      </c>
    </row>
    <row r="2343">
      <c r="A2343" t="inlineStr">
        <is>
          <t>CL002342</t>
        </is>
      </c>
      <c r="B2343" t="inlineStr">
        <is>
          <t>not_invited</t>
        </is>
      </c>
    </row>
    <row r="2344">
      <c r="A2344" t="inlineStr">
        <is>
          <t>CL002343</t>
        </is>
      </c>
      <c r="B2344" t="inlineStr">
        <is>
          <t>not_invited</t>
        </is>
      </c>
    </row>
    <row r="2345">
      <c r="A2345" t="inlineStr">
        <is>
          <t>CL002344</t>
        </is>
      </c>
      <c r="B2345" t="inlineStr">
        <is>
          <t>not_invited</t>
        </is>
      </c>
    </row>
    <row r="2346">
      <c r="A2346" t="inlineStr">
        <is>
          <t>CL002345</t>
        </is>
      </c>
      <c r="B2346" t="inlineStr">
        <is>
          <t>not_invited</t>
        </is>
      </c>
    </row>
    <row r="2347">
      <c r="A2347" t="inlineStr">
        <is>
          <t>CL002346</t>
        </is>
      </c>
      <c r="B2347" t="inlineStr">
        <is>
          <t>not_invited</t>
        </is>
      </c>
    </row>
    <row r="2348">
      <c r="A2348" t="inlineStr">
        <is>
          <t>CL002347</t>
        </is>
      </c>
      <c r="B2348" t="inlineStr">
        <is>
          <t>not_invited</t>
        </is>
      </c>
    </row>
    <row r="2349">
      <c r="A2349" t="inlineStr">
        <is>
          <t>CL002348</t>
        </is>
      </c>
      <c r="B2349" t="inlineStr">
        <is>
          <t>not_invited</t>
        </is>
      </c>
    </row>
    <row r="2350">
      <c r="A2350" t="inlineStr">
        <is>
          <t>CL002349</t>
        </is>
      </c>
      <c r="B2350" t="inlineStr">
        <is>
          <t>not_invited</t>
        </is>
      </c>
    </row>
    <row r="2351">
      <c r="A2351" t="inlineStr">
        <is>
          <t>CL002350</t>
        </is>
      </c>
      <c r="B2351" t="inlineStr">
        <is>
          <t>not_invited</t>
        </is>
      </c>
    </row>
    <row r="2352">
      <c r="A2352" t="inlineStr">
        <is>
          <t>CL002351</t>
        </is>
      </c>
      <c r="B2352" t="inlineStr">
        <is>
          <t>not_invited</t>
        </is>
      </c>
    </row>
    <row r="2353">
      <c r="A2353" t="inlineStr">
        <is>
          <t>CL002352</t>
        </is>
      </c>
      <c r="B2353" t="inlineStr">
        <is>
          <t>not_invited</t>
        </is>
      </c>
    </row>
    <row r="2354">
      <c r="A2354" t="inlineStr">
        <is>
          <t>CL002353</t>
        </is>
      </c>
      <c r="B2354" t="inlineStr">
        <is>
          <t>not_invited</t>
        </is>
      </c>
    </row>
    <row r="2355">
      <c r="A2355" t="inlineStr">
        <is>
          <t>CL002354</t>
        </is>
      </c>
      <c r="B2355" t="inlineStr">
        <is>
          <t>not_invited</t>
        </is>
      </c>
    </row>
    <row r="2356">
      <c r="A2356" t="inlineStr">
        <is>
          <t>CL002355</t>
        </is>
      </c>
      <c r="B2356" t="inlineStr">
        <is>
          <t>not_invited</t>
        </is>
      </c>
    </row>
    <row r="2357">
      <c r="A2357" t="inlineStr">
        <is>
          <t>CL002356</t>
        </is>
      </c>
      <c r="B2357" t="inlineStr">
        <is>
          <t>not_invited</t>
        </is>
      </c>
    </row>
    <row r="2358">
      <c r="A2358" t="inlineStr">
        <is>
          <t>CL002357</t>
        </is>
      </c>
      <c r="B2358" t="inlineStr">
        <is>
          <t>not_invited</t>
        </is>
      </c>
    </row>
    <row r="2359">
      <c r="A2359" t="inlineStr">
        <is>
          <t>CL002358</t>
        </is>
      </c>
      <c r="B2359" t="inlineStr">
        <is>
          <t>not_invited</t>
        </is>
      </c>
    </row>
    <row r="2360">
      <c r="A2360" t="inlineStr">
        <is>
          <t>CL002359</t>
        </is>
      </c>
      <c r="B2360" t="inlineStr">
        <is>
          <t>not_invited</t>
        </is>
      </c>
    </row>
    <row r="2361">
      <c r="A2361" t="inlineStr">
        <is>
          <t>CL002360</t>
        </is>
      </c>
      <c r="B2361" t="inlineStr">
        <is>
          <t>not_invited</t>
        </is>
      </c>
    </row>
    <row r="2362">
      <c r="A2362" t="inlineStr">
        <is>
          <t>CL002361</t>
        </is>
      </c>
      <c r="B2362" t="inlineStr">
        <is>
          <t>not_invited</t>
        </is>
      </c>
    </row>
    <row r="2363">
      <c r="A2363" t="inlineStr">
        <is>
          <t>CL002362</t>
        </is>
      </c>
      <c r="B2363" t="inlineStr">
        <is>
          <t>not_invited</t>
        </is>
      </c>
    </row>
    <row r="2364">
      <c r="A2364" t="inlineStr">
        <is>
          <t>CL002363</t>
        </is>
      </c>
      <c r="B2364" t="inlineStr">
        <is>
          <t>not_invited</t>
        </is>
      </c>
    </row>
    <row r="2365">
      <c r="A2365" t="inlineStr">
        <is>
          <t>CL002364</t>
        </is>
      </c>
      <c r="B2365" t="inlineStr">
        <is>
          <t>not_invited</t>
        </is>
      </c>
    </row>
    <row r="2366">
      <c r="A2366" t="inlineStr">
        <is>
          <t>CL002365</t>
        </is>
      </c>
      <c r="B2366" t="inlineStr">
        <is>
          <t>not_invited</t>
        </is>
      </c>
    </row>
    <row r="2367">
      <c r="A2367" t="inlineStr">
        <is>
          <t>CL002366</t>
        </is>
      </c>
      <c r="B2367" t="inlineStr">
        <is>
          <t>not_invited</t>
        </is>
      </c>
    </row>
    <row r="2368">
      <c r="A2368" t="inlineStr">
        <is>
          <t>CL002367</t>
        </is>
      </c>
      <c r="B2368" t="inlineStr">
        <is>
          <t>not_invited</t>
        </is>
      </c>
    </row>
    <row r="2369">
      <c r="A2369" t="inlineStr">
        <is>
          <t>CL002368</t>
        </is>
      </c>
      <c r="B2369" t="inlineStr">
        <is>
          <t>not_invited</t>
        </is>
      </c>
    </row>
    <row r="2370">
      <c r="A2370" t="inlineStr">
        <is>
          <t>CL002369</t>
        </is>
      </c>
      <c r="B2370" t="inlineStr">
        <is>
          <t>not_invited</t>
        </is>
      </c>
    </row>
    <row r="2371">
      <c r="A2371" t="inlineStr">
        <is>
          <t>CL002370</t>
        </is>
      </c>
      <c r="B2371" t="inlineStr">
        <is>
          <t>not_invited</t>
        </is>
      </c>
    </row>
    <row r="2372">
      <c r="A2372" t="inlineStr">
        <is>
          <t>CL002371</t>
        </is>
      </c>
      <c r="B2372" t="inlineStr">
        <is>
          <t>not_invited</t>
        </is>
      </c>
    </row>
    <row r="2373">
      <c r="A2373" t="inlineStr">
        <is>
          <t>CL002372</t>
        </is>
      </c>
      <c r="B2373" t="inlineStr">
        <is>
          <t>not_invited</t>
        </is>
      </c>
    </row>
    <row r="2374">
      <c r="A2374" t="inlineStr">
        <is>
          <t>CL002373</t>
        </is>
      </c>
      <c r="B2374" t="inlineStr">
        <is>
          <t>not_invited</t>
        </is>
      </c>
    </row>
    <row r="2375">
      <c r="A2375" t="inlineStr">
        <is>
          <t>CL002374</t>
        </is>
      </c>
      <c r="B2375" t="inlineStr">
        <is>
          <t>not_invited</t>
        </is>
      </c>
    </row>
    <row r="2376">
      <c r="A2376" t="inlineStr">
        <is>
          <t>CL002375</t>
        </is>
      </c>
      <c r="B2376" t="inlineStr">
        <is>
          <t>not_invited</t>
        </is>
      </c>
    </row>
    <row r="2377">
      <c r="A2377" t="inlineStr">
        <is>
          <t>CL002376</t>
        </is>
      </c>
      <c r="B2377" t="inlineStr">
        <is>
          <t>not_invited</t>
        </is>
      </c>
    </row>
    <row r="2378">
      <c r="A2378" t="inlineStr">
        <is>
          <t>CL002377</t>
        </is>
      </c>
      <c r="B2378" t="inlineStr">
        <is>
          <t>not_invited</t>
        </is>
      </c>
    </row>
    <row r="2379">
      <c r="A2379" t="inlineStr">
        <is>
          <t>CL002378</t>
        </is>
      </c>
      <c r="B2379" t="inlineStr">
        <is>
          <t>not_invited</t>
        </is>
      </c>
    </row>
    <row r="2380">
      <c r="A2380" t="inlineStr">
        <is>
          <t>CL002379</t>
        </is>
      </c>
      <c r="B2380" t="inlineStr">
        <is>
          <t>not_invited</t>
        </is>
      </c>
    </row>
    <row r="2381">
      <c r="A2381" t="inlineStr">
        <is>
          <t>CL002380</t>
        </is>
      </c>
      <c r="B2381" t="inlineStr">
        <is>
          <t>not_invited</t>
        </is>
      </c>
    </row>
    <row r="2382">
      <c r="A2382" t="inlineStr">
        <is>
          <t>CL002381</t>
        </is>
      </c>
      <c r="B2382" t="inlineStr">
        <is>
          <t>not_invited</t>
        </is>
      </c>
    </row>
    <row r="2383">
      <c r="A2383" t="inlineStr">
        <is>
          <t>CL002382</t>
        </is>
      </c>
      <c r="B2383" t="inlineStr">
        <is>
          <t>not_invited</t>
        </is>
      </c>
    </row>
    <row r="2384">
      <c r="A2384" t="inlineStr">
        <is>
          <t>CL002383</t>
        </is>
      </c>
      <c r="B2384" t="inlineStr">
        <is>
          <t>not_invited</t>
        </is>
      </c>
    </row>
    <row r="2385">
      <c r="A2385" t="inlineStr">
        <is>
          <t>CL002384</t>
        </is>
      </c>
      <c r="B2385" t="inlineStr">
        <is>
          <t>not_invited</t>
        </is>
      </c>
    </row>
    <row r="2386">
      <c r="A2386" t="inlineStr">
        <is>
          <t>CL002385</t>
        </is>
      </c>
      <c r="B2386" t="inlineStr">
        <is>
          <t>not_invited</t>
        </is>
      </c>
    </row>
    <row r="2387">
      <c r="A2387" t="inlineStr">
        <is>
          <t>CL002386</t>
        </is>
      </c>
      <c r="B2387" t="inlineStr">
        <is>
          <t>not_invited</t>
        </is>
      </c>
    </row>
    <row r="2388">
      <c r="A2388" t="inlineStr">
        <is>
          <t>CL002387</t>
        </is>
      </c>
      <c r="B2388" t="inlineStr">
        <is>
          <t>not_invited</t>
        </is>
      </c>
    </row>
    <row r="2389">
      <c r="A2389" t="inlineStr">
        <is>
          <t>CL002388</t>
        </is>
      </c>
      <c r="B2389" t="inlineStr">
        <is>
          <t>not_invited</t>
        </is>
      </c>
    </row>
    <row r="2390">
      <c r="A2390" t="inlineStr">
        <is>
          <t>CL002389</t>
        </is>
      </c>
      <c r="B2390" t="inlineStr">
        <is>
          <t>responded</t>
        </is>
      </c>
      <c r="C2390" t="n">
        <v>0</v>
      </c>
      <c r="D2390" t="n">
        <v>0</v>
      </c>
      <c r="E2390" t="n">
        <v>35.29038396266813</v>
      </c>
    </row>
    <row r="2391">
      <c r="A2391" t="inlineStr">
        <is>
          <t>CL002390</t>
        </is>
      </c>
      <c r="B2391" t="inlineStr">
        <is>
          <t>responded</t>
        </is>
      </c>
      <c r="C2391" t="n">
        <v>0</v>
      </c>
      <c r="D2391" t="n">
        <v>0</v>
      </c>
      <c r="E2391" t="n">
        <v>35.29038396266813</v>
      </c>
    </row>
    <row r="2392">
      <c r="A2392" t="inlineStr">
        <is>
          <t>CL002391</t>
        </is>
      </c>
      <c r="B2392" t="inlineStr">
        <is>
          <t>not_invited</t>
        </is>
      </c>
    </row>
    <row r="2393">
      <c r="A2393" t="inlineStr">
        <is>
          <t>CL002392</t>
        </is>
      </c>
      <c r="B2393" t="inlineStr">
        <is>
          <t>not_invited</t>
        </is>
      </c>
    </row>
    <row r="2394">
      <c r="A2394" t="inlineStr">
        <is>
          <t>CL002393</t>
        </is>
      </c>
      <c r="B2394" t="inlineStr">
        <is>
          <t>nonresponse</t>
        </is>
      </c>
    </row>
    <row r="2395">
      <c r="A2395" t="inlineStr">
        <is>
          <t>CL002394</t>
        </is>
      </c>
      <c r="B2395" t="inlineStr">
        <is>
          <t>not_invited</t>
        </is>
      </c>
    </row>
    <row r="2396">
      <c r="A2396" t="inlineStr">
        <is>
          <t>CL002395</t>
        </is>
      </c>
      <c r="B2396" t="inlineStr">
        <is>
          <t>not_invited</t>
        </is>
      </c>
    </row>
    <row r="2397">
      <c r="A2397" t="inlineStr">
        <is>
          <t>CL002396</t>
        </is>
      </c>
      <c r="B2397" t="inlineStr">
        <is>
          <t>not_invited</t>
        </is>
      </c>
    </row>
    <row r="2398">
      <c r="A2398" t="inlineStr">
        <is>
          <t>CL002397</t>
        </is>
      </c>
      <c r="B2398" t="inlineStr">
        <is>
          <t>not_invited</t>
        </is>
      </c>
    </row>
    <row r="2399">
      <c r="A2399" t="inlineStr">
        <is>
          <t>CL002398</t>
        </is>
      </c>
      <c r="B2399" t="inlineStr">
        <is>
          <t>not_invited</t>
        </is>
      </c>
    </row>
    <row r="2400">
      <c r="A2400" t="inlineStr">
        <is>
          <t>CL002399</t>
        </is>
      </c>
      <c r="B2400" t="inlineStr">
        <is>
          <t>not_invited</t>
        </is>
      </c>
    </row>
    <row r="2401">
      <c r="A2401" t="inlineStr">
        <is>
          <t>CL002400</t>
        </is>
      </c>
      <c r="B2401" t="inlineStr">
        <is>
          <t>not_invited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2026-09-28T03:49:48Z</dcterms:created>
  <dcterms:modified xmlns:dcterms="http://purl.org/dc/terms/" xmlns:xsi="http://www.w3.org/2001/XMLSchema-instance" xsi:type="dcterms:W3CDTF">2026-09-28T03:49:48Z</dcterms:modified>
</cp:coreProperties>
</file>